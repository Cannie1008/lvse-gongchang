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填写说明" sheetId="1" state="visible" r:id="rId3"/>
    <sheet name="1基本信息" sheetId="2" state="visible" r:id="rId4"/>
    <sheet name="2能源与碳" sheetId="3" state="visible" r:id="rId5"/>
    <sheet name="3资源产出" sheetId="4" state="visible" r:id="rId6"/>
    <sheet name="4定性与系统" sheetId="5" state="visible" r:id="rId7"/>
    <sheet name="5对标值" sheetId="6" state="visible" r:id="rId8"/>
    <sheet name="6得分" sheetId="7" state="visible" r:id="rId9"/>
    <sheet name="参数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Noto Sans CJK SC"/>
            <family val="2"/>
          </rPr>
          <t xml:space="preserve">演示企业为虚构数据，请整体覆盖</t>
        </r>
      </text>
    </comment>
  </commentList>
</comments>
</file>

<file path=xl/sharedStrings.xml><?xml version="1.0" encoding="utf-8"?>
<sst xmlns="http://schemas.openxmlformats.org/spreadsheetml/2006/main" count="514" uniqueCount="371">
  <si>
    <t xml:space="preserve">绿色工厂数据采集表（GB/T 36132—2025 / 14项指标）</t>
  </si>
  <si>
    <t xml:space="preserve">v1.1.1　政策核对至 2026-10-23；表内为虚构演示数据，请整体覆盖后使用</t>
  </si>
  <si>
    <t xml:space="preserve">事项</t>
  </si>
  <si>
    <t xml:space="preserve">说明</t>
  </si>
  <si>
    <t xml:space="preserve">怎么填</t>
  </si>
  <si>
    <t xml:space="preserve">按 1→5 页顺序填写蓝字黄底的格子，第6页自动算分。下拉格从列表选，不要手打。</t>
  </si>
  <si>
    <t xml:space="preserve">颜色</t>
  </si>
  <si>
    <t xml:space="preserve">蓝字黄底=需要填写；黑字=公式自动计算，请勿修改。</t>
  </si>
  <si>
    <t xml:space="preserve">数据年份</t>
  </si>
  <si>
    <t xml:space="preserve">强度和比率类指标都用评价年（申报年份的上一自然年）全年数据；指标10用近三年投资和三年产值。</t>
  </si>
  <si>
    <t xml:space="preserve">口径一致</t>
  </si>
  <si>
    <t xml:space="preserve">强度指标按产值还是产量，要和对标值口径一致；产值用统计报表的工业总产值（现价），不是营业收入。</t>
  </si>
  <si>
    <t xml:space="preserve">对标值</t>
  </si>
  <si>
    <t xml:space="preserve">对标值决定得分。没有可靠来源就留空，第6页会显示“缺对标值”，宁可待定也不要估。</t>
  </si>
  <si>
    <t xml:space="preserve">重点行业</t>
  </si>
  <si>
    <t xml:space="preserve">属于重点行业的，平台按行业评价要求打分，指标和对标值可能与本表不同，以平台为准。</t>
  </si>
  <si>
    <t xml:space="preserve">交给智能体</t>
  </si>
  <si>
    <t xml:space="preserve">把填好的表发给“绿色工厂研判”技能，它会读取输入格，生成研判结论和 Word 报告。</t>
  </si>
  <si>
    <t xml:space="preserve">数据安全</t>
  </si>
  <si>
    <t xml:space="preserve">本表在本机打开即可计算，不联网。发给任何在线服务前，请确认企业允许外传这些数据。</t>
  </si>
  <si>
    <t xml:space="preserve">示例</t>
  </si>
  <si>
    <t xml:space="preserve">演示企业：齿轮及齿轮减、变速箱制造，江苏，非重点行业，目标省级，2025年数据。按演示对标值，第6页应显示确定分63.9、待定14、上限77.9、结论“有希望，待补齐”。</t>
  </si>
  <si>
    <t xml:space="preserve">百分比</t>
  </si>
  <si>
    <t xml:space="preserve">指标3、7、8、10的对标值按百分数填，如12%填12；直接输入“12%”也会自动识别，不会算错。</t>
  </si>
  <si>
    <t xml:space="preserve">本表按 GB/T 36132—2025 和公开政策的规则计算，结果是推算，不是第三方评价报告，也不是主管部门的评审结论。</t>
  </si>
  <si>
    <r>
      <rPr>
        <b val="true"/>
        <sz val="14"/>
        <color rgb="FF2F5D46"/>
        <rFont val="Arial"/>
        <family val="0"/>
        <charset val="1"/>
      </rPr>
      <t xml:space="preserve">1 </t>
    </r>
    <r>
      <rPr>
        <b val="true"/>
        <sz val="14"/>
        <color rgb="FF2F5D46"/>
        <rFont val="Noto Sans CJK SC"/>
        <family val="2"/>
      </rPr>
      <t xml:space="preserve">基本信息与门槛</t>
    </r>
  </si>
  <si>
    <t xml:space="preserve">蓝字黄底格填写；下拉格请从列表选择。表中现有内容是虚构的演示企业，请整体覆盖</t>
  </si>
  <si>
    <t xml:space="preserve">项目</t>
  </si>
  <si>
    <t xml:space="preserve">填写</t>
  </si>
  <si>
    <t xml:space="preserve">企业名称（申报主体，独立法人或视同法人的独立核算单位）</t>
  </si>
  <si>
    <t xml:space="preserve">示例传动科技有限公司（演示数据）</t>
  </si>
  <si>
    <t xml:space="preserve">所在省份</t>
  </si>
  <si>
    <t xml:space="preserve">江苏</t>
  </si>
  <si>
    <t xml:space="preserve">用于选取电力排放因子</t>
  </si>
  <si>
    <t xml:space="preserve">所属行业（按 GB/T 4754）</t>
  </si>
  <si>
    <t xml:space="preserve">齿轮及齿轮减、变速箱制造</t>
  </si>
  <si>
    <t xml:space="preserve">行业代码</t>
  </si>
  <si>
    <t xml:space="preserve">C3453</t>
  </si>
  <si>
    <t xml:space="preserve">如 C3453</t>
  </si>
  <si>
    <t xml:space="preserve">是否属于C类制造业</t>
  </si>
  <si>
    <t xml:space="preserve">是</t>
  </si>
  <si>
    <t xml:space="preserve">非C类不能申报国家绿色工厂</t>
  </si>
  <si>
    <t xml:space="preserve">是否属于重点行业</t>
  </si>
  <si>
    <t xml:space="preserve">否</t>
  </si>
  <si>
    <t xml:space="preserve">以管理平台显示的行业评价要求为准</t>
  </si>
  <si>
    <t xml:space="preserve">本次目标层级</t>
  </si>
  <si>
    <t xml:space="preserve">省级</t>
  </si>
  <si>
    <t xml:space="preserve">京津沪渝选“市级”会按省级处理；计划单列市以本市通知为准</t>
  </si>
  <si>
    <t xml:space="preserve">当前已获层级</t>
  </si>
  <si>
    <t xml:space="preserve">市级</t>
  </si>
  <si>
    <t xml:space="preserve">国家级须先列入本地区省级名单；京津沪渝的市级名单即省级</t>
  </si>
  <si>
    <t xml:space="preserve">评价年</t>
  </si>
  <si>
    <t xml:space="preserve">申报年份的上一自然年</t>
  </si>
  <si>
    <t xml:space="preserve">智能工厂等级</t>
  </si>
  <si>
    <t xml:space="preserve">先进级</t>
  </si>
  <si>
    <t xml:space="preserve">卓越级、领航级国家级优先推荐</t>
  </si>
  <si>
    <t xml:space="preserve">已获荣誉（用顿号分隔）</t>
  </si>
  <si>
    <t xml:space="preserve">专精特新</t>
  </si>
  <si>
    <t xml:space="preserve">如能效领跑者、专精特新、小巨人</t>
  </si>
  <si>
    <t xml:space="preserve">强度指标口径</t>
  </si>
  <si>
    <t xml:space="preserve">产值</t>
  </si>
  <si>
    <t xml:space="preserve">产值或产量，须与对标值口径一致</t>
  </si>
  <si>
    <t xml:space="preserve">产品计量单位</t>
  </si>
  <si>
    <t xml:space="preserve">台</t>
  </si>
  <si>
    <t xml:space="preserve">按产量口径时使用</t>
  </si>
  <si>
    <t xml:space="preserve">近三年否决情形</t>
  </si>
  <si>
    <t xml:space="preserve">否/是/不确定</t>
  </si>
  <si>
    <t xml:space="preserve">近三年未正常经营生产（注销、连续停产12个月以上、列入经营异常名录未移出等）</t>
  </si>
  <si>
    <t xml:space="preserve">任何一项为“是”即不能申报</t>
  </si>
  <si>
    <t xml:space="preserve">近三年发生较大及以上安全（含网络、数据、生产安全）、质量、环境污染事故</t>
  </si>
  <si>
    <t xml:space="preserve">近三年被动态调整出绿色制造名单</t>
  </si>
  <si>
    <t xml:space="preserve">近三年从事《反垄断法》规定的垄断行为</t>
  </si>
  <si>
    <t xml:space="preserve">近三年在国务院及有关部门督查中被发现存在严重问题</t>
  </si>
  <si>
    <t xml:space="preserve">被列入工业节能监察整改名单且未按要求完成整改</t>
  </si>
  <si>
    <t xml:space="preserve">近三年受到有关行政主管部门比较重大以上行政处罚</t>
  </si>
  <si>
    <t xml:space="preserve">被列为失信被执行人</t>
  </si>
  <si>
    <t xml:space="preserve">近三年有其他安全、质量、环保违法违规记录（含一般行政处罚、偷漏税）</t>
  </si>
  <si>
    <t xml:space="preserve">选“是”即门槛存疑：新国标第4.2条要求近三年无违法违规，安徽等地列为不得申报，先问当地工信部门</t>
  </si>
  <si>
    <t xml:space="preserve">基本要求（GB/T 36132—2025 第4.2条）</t>
  </si>
  <si>
    <t xml:space="preserve">明确绿色制造管理层职责，有绿色低碳中长期规划和年度量化目标</t>
  </si>
  <si>
    <t xml:space="preserve">是/部分/否</t>
  </si>
  <si>
    <t xml:space="preserve">质量管理体系（GB/T 19001）</t>
  </si>
  <si>
    <t xml:space="preserve">认证</t>
  </si>
  <si>
    <t xml:space="preserve">认证/建立运行/未建立</t>
  </si>
  <si>
    <t xml:space="preserve">环境管理体系（GB/T 24001）</t>
  </si>
  <si>
    <t xml:space="preserve">能源管理体系（GB/T 23331）</t>
  </si>
  <si>
    <t xml:space="preserve">建立运行</t>
  </si>
  <si>
    <t xml:space="preserve">职业健康安全管理体系（GB/T 45001）</t>
  </si>
  <si>
    <t xml:space="preserve">分数线（留空则用缺省值）</t>
  </si>
  <si>
    <t xml:space="preserve">分</t>
  </si>
  <si>
    <t xml:space="preserve">市级分数线</t>
  </si>
  <si>
    <t xml:space="preserve">以当地通知为准</t>
  </si>
  <si>
    <t xml:space="preserve">省级分数线</t>
  </si>
  <si>
    <t xml:space="preserve">留空：重点行业60、非重点75（安徽2026口径）</t>
  </si>
  <si>
    <t xml:space="preserve">本地区已有国家绿色工厂平均分（如了解）</t>
  </si>
  <si>
    <t xml:space="preserve">国家级无固定分数线，用于比较</t>
  </si>
  <si>
    <r>
      <rPr>
        <b val="true"/>
        <sz val="14"/>
        <color rgb="FF2F5D46"/>
        <rFont val="Arial"/>
        <family val="0"/>
        <charset val="1"/>
      </rPr>
      <t xml:space="preserve">2 </t>
    </r>
    <r>
      <rPr>
        <b val="true"/>
        <sz val="14"/>
        <color rgb="FF2F5D46"/>
        <rFont val="Noto Sans CJK SC"/>
        <family val="2"/>
      </rPr>
      <t xml:space="preserve">能源与碳（评价年全年）</t>
    </r>
  </si>
  <si>
    <t xml:space="preserve">只填C列；E—H列自动计算。外购电量按电费结算单，光伏按发电计量表的自用电量</t>
  </si>
  <si>
    <t xml:space="preserve">数量</t>
  </si>
  <si>
    <t xml:space="preserve">单位</t>
  </si>
  <si>
    <t xml:space="preserve">折标系数</t>
  </si>
  <si>
    <t xml:space="preserve">折标量 tce</t>
  </si>
  <si>
    <t xml:space="preserve">排放因子</t>
  </si>
  <si>
    <t xml:space="preserve">排放量 tCO2</t>
  </si>
  <si>
    <t xml:space="preserve">外购电网电量（含绿电交易电量）</t>
  </si>
  <si>
    <t xml:space="preserve">kWh</t>
  </si>
  <si>
    <t xml:space="preserve">按电费结算单</t>
  </si>
  <si>
    <t xml:space="preserve">自发自用光伏等可再生电量</t>
  </si>
  <si>
    <t xml:space="preserve">计入能耗，零排放</t>
  </si>
  <si>
    <t xml:space="preserve">专线直供可再生电量</t>
  </si>
  <si>
    <t xml:space="preserve">需交易结算凭证</t>
  </si>
  <si>
    <t xml:space="preserve">其中：市场化交易绿电电量</t>
  </si>
  <si>
    <t xml:space="preserve">已含在第5行，不重复计入能耗</t>
  </si>
  <si>
    <t xml:space="preserve">单独购买的绿证</t>
  </si>
  <si>
    <t xml:space="preserve">MWh</t>
  </si>
  <si>
    <r>
      <rPr>
        <sz val="9"/>
        <color rgb="FF6B7A71"/>
        <rFont val="Arial"/>
        <family val="0"/>
        <charset val="1"/>
      </rPr>
      <t xml:space="preserve">1</t>
    </r>
    <r>
      <rPr>
        <sz val="9"/>
        <color rgb="FF6B7A71"/>
        <rFont val="Noto Sans CJK SC"/>
        <family val="2"/>
      </rPr>
      <t xml:space="preserve">张</t>
    </r>
    <r>
      <rPr>
        <sz val="9"/>
        <color rgb="FF6B7A71"/>
        <rFont val="Arial"/>
        <family val="0"/>
        <charset val="1"/>
      </rPr>
      <t xml:space="preserve">=1 MWh</t>
    </r>
    <r>
      <rPr>
        <sz val="9"/>
        <color rgb="FF6B7A71"/>
        <rFont val="Noto Sans CJK SC"/>
        <family val="2"/>
      </rPr>
      <t xml:space="preserve">；绿电交易附带的绿证不要再填</t>
    </r>
  </si>
  <si>
    <t xml:space="preserve">天然气</t>
  </si>
  <si>
    <t xml:space="preserve">m³</t>
  </si>
  <si>
    <t xml:space="preserve">柴油</t>
  </si>
  <si>
    <t xml:space="preserve">t</t>
  </si>
  <si>
    <t xml:space="preserve">厂内运输和设备用</t>
  </si>
  <si>
    <t xml:space="preserve">汽油</t>
  </si>
  <si>
    <t xml:space="preserve">液化石油气</t>
  </si>
  <si>
    <t xml:space="preserve">燃料油</t>
  </si>
  <si>
    <t xml:space="preserve">原煤</t>
  </si>
  <si>
    <t xml:space="preserve">焦炭</t>
  </si>
  <si>
    <t xml:space="preserve">外购热力（蒸汽按供汽方提供的热量折GJ）</t>
  </si>
  <si>
    <t xml:space="preserve">GJ</t>
  </si>
  <si>
    <t xml:space="preserve">其他化石能源（已折标）</t>
  </si>
  <si>
    <t xml:space="preserve">tce</t>
  </si>
  <si>
    <t xml:space="preserve">其排放请填在第20行</t>
  </si>
  <si>
    <t xml:space="preserve">其他可再生能源（非电，已折标）</t>
  </si>
  <si>
    <t xml:space="preserve">生物质、太阳能热利用等</t>
  </si>
  <si>
    <t xml:space="preserve">过程排放及其他排放</t>
  </si>
  <si>
    <t xml:space="preserve">tCO2</t>
  </si>
  <si>
    <t xml:space="preserve">用作原料的能源（扣除）</t>
  </si>
  <si>
    <t xml:space="preserve">化工原料用气、用煤等</t>
  </si>
  <si>
    <t xml:space="preserve">外供能源（扣除）</t>
  </si>
  <si>
    <t xml:space="preserve">口径设置</t>
  </si>
  <si>
    <t xml:space="preserve">碳排放口径</t>
  </si>
  <si>
    <t xml:space="preserve">地区平均因子</t>
  </si>
  <si>
    <t xml:space="preserve">地区平均因子（缺省）或市场法；与平台要求一致，不要混用</t>
  </si>
  <si>
    <t xml:space="preserve">电网排放因子覆盖值 kgCO2/kWh（留空自动取）</t>
  </si>
  <si>
    <t xml:space="preserve">当地或平台另有规定时填</t>
  </si>
  <si>
    <t xml:space="preserve">天然气折标系数 kgce/m³（留空=1.2143）</t>
  </si>
  <si>
    <t xml:space="preserve">有燃气公司热值时按实测折算</t>
  </si>
  <si>
    <t xml:space="preserve">计算结果（自动）</t>
  </si>
  <si>
    <t xml:space="preserve">结果</t>
  </si>
  <si>
    <t xml:space="preserve">可计入的绿电交易与绿证电量 kWh</t>
  </si>
  <si>
    <t xml:space="preserve">超过外购电量的部分不计</t>
  </si>
  <si>
    <t xml:space="preserve">综合能耗 tce</t>
  </si>
  <si>
    <t xml:space="preserve">可再生能源消费量 tce</t>
  </si>
  <si>
    <t xml:space="preserve">可再生能源利用率 %</t>
  </si>
  <si>
    <t xml:space="preserve">指标3</t>
  </si>
  <si>
    <t xml:space="preserve">使用的电网排放因子 kgCO2/kWh</t>
  </si>
  <si>
    <r>
      <rPr>
        <sz val="9"/>
        <color rgb="FF6B7A71"/>
        <rFont val="Arial"/>
        <family val="0"/>
        <charset val="1"/>
      </rPr>
      <t xml:space="preserve">2023</t>
    </r>
    <r>
      <rPr>
        <sz val="9"/>
        <color rgb="FF6B7A71"/>
        <rFont val="Noto Sans CJK SC"/>
        <family val="2"/>
      </rPr>
      <t xml:space="preserve">年因子</t>
    </r>
  </si>
  <si>
    <t xml:space="preserve">二氧化碳排放 tCO2</t>
  </si>
  <si>
    <t xml:space="preserve">指标2的分子</t>
  </si>
  <si>
    <r>
      <rPr>
        <b val="true"/>
        <sz val="14"/>
        <color rgb="FF2F5D46"/>
        <rFont val="Arial"/>
        <family val="0"/>
        <charset val="1"/>
      </rPr>
      <t xml:space="preserve">3 </t>
    </r>
    <r>
      <rPr>
        <b val="true"/>
        <sz val="14"/>
        <color rgb="FF2F5D46"/>
        <rFont val="Noto Sans CJK SC"/>
        <family val="2"/>
      </rPr>
      <t xml:space="preserve">资源与产出（评价年；投资和产值取近三年）</t>
    </r>
  </si>
  <si>
    <t xml:space="preserve">产值用统计报表的工业总产值（现价），不要用营业收入</t>
  </si>
  <si>
    <t xml:space="preserve">工业总产值（评价年，现价）</t>
  </si>
  <si>
    <t xml:space="preserve">万元</t>
  </si>
  <si>
    <t xml:space="preserve">强度指标和土地产出率的分母</t>
  </si>
  <si>
    <t xml:space="preserve">合格产品产量</t>
  </si>
  <si>
    <t xml:space="preserve">产品单位</t>
  </si>
  <si>
    <t xml:space="preserve">近三年工业总产值合计</t>
  </si>
  <si>
    <t xml:space="preserve">指标10的分母</t>
  </si>
  <si>
    <t xml:space="preserve">近三年绿色低碳改造项目投资额</t>
  </si>
  <si>
    <t xml:space="preserve">只计真实实施、有立项和验收材料的项目</t>
  </si>
  <si>
    <t xml:space="preserve">取水量（生产、辅助、附属系统）</t>
  </si>
  <si>
    <t xml:space="preserve">不含基建改造、消防、外供</t>
  </si>
  <si>
    <t xml:space="preserve">重复利用水量（循环水+回用水）</t>
  </si>
  <si>
    <t xml:space="preserve">指标7</t>
  </si>
  <si>
    <t xml:space="preserve">主要原材料名称</t>
  </si>
  <si>
    <t xml:space="preserve">钢材（棒料、锻件毛坯）</t>
  </si>
  <si>
    <t xml:space="preserve">主要原材料消耗量</t>
  </si>
  <si>
    <t xml:space="preserve">单位见下一行</t>
  </si>
  <si>
    <t xml:space="preserve">原材料计量单位</t>
  </si>
  <si>
    <t xml:space="preserve">一般工业固体废物产生量</t>
  </si>
  <si>
    <t xml:space="preserve">不含危险废物</t>
  </si>
  <si>
    <t xml:space="preserve">一般工业固废综合利用量（不含外购）</t>
  </si>
  <si>
    <t xml:space="preserve">综合利用往年贮存量</t>
  </si>
  <si>
    <t xml:space="preserve">计入分母</t>
  </si>
  <si>
    <t xml:space="preserve">主要污染物名称</t>
  </si>
  <si>
    <t xml:space="preserve">VOCs</t>
  </si>
  <si>
    <t xml:space="preserve">选行业最有代表性的一项，如COD、VOCs、颗粒物</t>
  </si>
  <si>
    <t xml:space="preserve">主要污染物产生或排放量</t>
  </si>
  <si>
    <t xml:space="preserve">与对标值口径一致（产生量或排放量）</t>
  </si>
  <si>
    <t xml:space="preserve">污染物计量单位</t>
  </si>
  <si>
    <t xml:space="preserve">工厂用地面积（不动产权证）</t>
  </si>
  <si>
    <t xml:space="preserve">m²</t>
  </si>
  <si>
    <r>
      <rPr>
        <sz val="9"/>
        <color rgb="FF6B7A71"/>
        <rFont val="Arial"/>
        <family val="0"/>
        <charset val="1"/>
      </rPr>
      <t xml:space="preserve">1</t>
    </r>
    <r>
      <rPr>
        <sz val="9"/>
        <color rgb="FF6B7A71"/>
        <rFont val="Noto Sans CJK SC"/>
        <family val="2"/>
      </rPr>
      <t xml:space="preserve">亩≈</t>
    </r>
    <r>
      <rPr>
        <sz val="9"/>
        <color rgb="FF6B7A71"/>
        <rFont val="Arial"/>
        <family val="0"/>
        <charset val="1"/>
      </rPr>
      <t xml:space="preserve">666.67 m²</t>
    </r>
  </si>
  <si>
    <t xml:space="preserve">总产能（按产能算土地产出率时填）</t>
  </si>
  <si>
    <r>
      <rPr>
        <b val="true"/>
        <sz val="14"/>
        <color rgb="FF2F5D46"/>
        <rFont val="Arial"/>
        <family val="0"/>
        <charset val="1"/>
      </rPr>
      <t xml:space="preserve">4 </t>
    </r>
    <r>
      <rPr>
        <b val="true"/>
        <sz val="14"/>
        <color rgb="FF2F5D46"/>
        <rFont val="Noto Sans CJK SC"/>
        <family val="2"/>
      </rPr>
      <t xml:space="preserve">定性项与能碳管理系统</t>
    </r>
  </si>
  <si>
    <t xml:space="preserve">能碳系统必须建成运行才计分；功能以能拿出运行截图和数据导出为准</t>
  </si>
  <si>
    <t xml:space="preserve">是/否</t>
  </si>
  <si>
    <t xml:space="preserve">计分功能数</t>
  </si>
  <si>
    <t xml:space="preserve">能碳管理系统是否已建成运行</t>
  </si>
  <si>
    <t xml:space="preserve">引领值8项，每项0.75分；没说明是否建成运行时按待定处理</t>
  </si>
  <si>
    <t xml:space="preserve">功能1：能耗查询</t>
  </si>
  <si>
    <t xml:space="preserve">功能2：能源消费量和强度计算</t>
  </si>
  <si>
    <t xml:space="preserve">功能3：能源消费分析与用能策略推荐</t>
  </si>
  <si>
    <t xml:space="preserve">功能4：能效对标</t>
  </si>
  <si>
    <t xml:space="preserve">功能5：能流分析</t>
  </si>
  <si>
    <t xml:space="preserve">功能6：能效平衡与优化</t>
  </si>
  <si>
    <t xml:space="preserve">功能7：用能与碳排放预算管理</t>
  </si>
  <si>
    <t xml:space="preserve">功能8：碳排放</t>
  </si>
  <si>
    <t xml:space="preserve">功能9：碳足迹核算</t>
  </si>
  <si>
    <t xml:space="preserve">功能10：供应链碳管理</t>
  </si>
  <si>
    <t xml:space="preserve">功能11：碳核查支撑</t>
  </si>
  <si>
    <t xml:space="preserve">功能12：碳资产管理</t>
  </si>
  <si>
    <t xml:space="preserve">定性指标</t>
  </si>
  <si>
    <t xml:space="preserve">A/B/C</t>
  </si>
  <si>
    <r>
      <rPr>
        <b val="true"/>
        <sz val="10"/>
        <color rgb="FF2F5D46"/>
        <rFont val="Arial"/>
        <family val="0"/>
        <charset val="1"/>
      </rPr>
      <t xml:space="preserve">A</t>
    </r>
    <r>
      <rPr>
        <b val="true"/>
        <sz val="10"/>
        <color rgb="FF2F5D46"/>
        <rFont val="Noto Sans CJK SC"/>
        <family val="2"/>
      </rPr>
      <t xml:space="preserve">档</t>
    </r>
  </si>
  <si>
    <r>
      <rPr>
        <b val="true"/>
        <sz val="10"/>
        <color rgb="FF2F5D46"/>
        <rFont val="Arial"/>
        <family val="0"/>
        <charset val="1"/>
      </rPr>
      <t xml:space="preserve">B</t>
    </r>
    <r>
      <rPr>
        <b val="true"/>
        <sz val="10"/>
        <color rgb="FF2F5D46"/>
        <rFont val="Noto Sans CJK SC"/>
        <family val="2"/>
      </rPr>
      <t xml:space="preserve">档</t>
    </r>
  </si>
  <si>
    <r>
      <rPr>
        <b val="true"/>
        <sz val="10"/>
        <color rgb="FF2F5D46"/>
        <rFont val="Arial"/>
        <family val="0"/>
        <charset val="1"/>
      </rPr>
      <t xml:space="preserve">C</t>
    </r>
    <r>
      <rPr>
        <b val="true"/>
        <sz val="10"/>
        <color rgb="FF2F5D46"/>
        <rFont val="Noto Sans CJK SC"/>
        <family val="2"/>
      </rPr>
      <t xml:space="preserve">档</t>
    </r>
  </si>
  <si>
    <t xml:space="preserve">指标9 生产工艺和设备先进性（6分）</t>
  </si>
  <si>
    <t xml:space="preserve">A</t>
  </si>
  <si>
    <t xml:space="preserve">主要工序的工艺设备能逐项对上国家推荐目录或行业规范条件，有合同/铭牌/验收证明，且无淘汰类设备</t>
  </si>
  <si>
    <t xml:space="preserve">部分能对上，或证明材料不全</t>
  </si>
  <si>
    <t xml:space="preserve">拿不出对应证明（若还有淘汰类设备，先解决合规问题）</t>
  </si>
  <si>
    <t xml:space="preserve">指标12 绿色设计（8分）</t>
  </si>
  <si>
    <t xml:space="preserve">C</t>
  </si>
  <si>
    <t xml:space="preserve">已按 GB/T 24256 形成产品绿色设计及验证报告，并有环境绩效改善的证据</t>
  </si>
  <si>
    <t xml:space="preserve">有设计改进记录，但没有成体系的报告或验证</t>
  </si>
  <si>
    <t xml:space="preserve">未开展</t>
  </si>
  <si>
    <t xml:space="preserve">指标13 产品碳足迹（8分）</t>
  </si>
  <si>
    <t xml:space="preserve">B</t>
  </si>
  <si>
    <t xml:space="preserve">主要产品已按 GB/T 24067 等完成碳足迹量化并出具报告</t>
  </si>
  <si>
    <t xml:space="preserve">只做了部分主要产品，或方法不符合 GB/T 24067</t>
  </si>
  <si>
    <t xml:space="preserve">三档按满分、半分、零分估计，是本工具的经验估计，平台细则以填报说明为准</t>
  </si>
  <si>
    <r>
      <rPr>
        <b val="true"/>
        <sz val="14"/>
        <color rgb="FF2F5D46"/>
        <rFont val="Arial"/>
        <family val="0"/>
        <charset val="1"/>
      </rPr>
      <t xml:space="preserve">5 </t>
    </r>
    <r>
      <rPr>
        <b val="true"/>
        <sz val="14"/>
        <color rgb="FF2F5D46"/>
        <rFont val="Noto Sans CJK SC"/>
        <family val="2"/>
      </rPr>
      <t xml:space="preserve">对标值（决定得分，必须有来源）</t>
    </r>
  </si>
  <si>
    <t xml:space="preserve">引领值≈行业前5%先进水平，基准值≈行业平均。没有可靠来源就留空，宁可待定也不要估</t>
  </si>
  <si>
    <t xml:space="preserve">指标</t>
  </si>
  <si>
    <t xml:space="preserve">引领值</t>
  </si>
  <si>
    <t xml:space="preserve">基准值</t>
  </si>
  <si>
    <t xml:space="preserve">来源（文件名、条款、年份）</t>
  </si>
  <si>
    <t xml:space="preserve">口径</t>
  </si>
  <si>
    <t xml:space="preserve">指标1 能源消耗强度</t>
  </si>
  <si>
    <t xml:space="preserve">演示值，非真实行业数据</t>
  </si>
  <si>
    <r>
      <rPr>
        <sz val="9"/>
        <color rgb="FF6B7A71"/>
        <rFont val="Arial"/>
        <family val="0"/>
        <charset val="1"/>
      </rPr>
      <t xml:space="preserve">tce/</t>
    </r>
    <r>
      <rPr>
        <sz val="9"/>
        <color rgb="FF6B7A71"/>
        <rFont val="Noto Sans CJK SC"/>
        <family val="2"/>
      </rPr>
      <t xml:space="preserve">万元或</t>
    </r>
    <r>
      <rPr>
        <sz val="9"/>
        <color rgb="FF6B7A71"/>
        <rFont val="Arial"/>
        <family val="0"/>
        <charset val="1"/>
      </rPr>
      <t xml:space="preserve">tce/</t>
    </r>
    <r>
      <rPr>
        <sz val="9"/>
        <color rgb="FF6B7A71"/>
        <rFont val="Noto Sans CJK SC"/>
        <family val="2"/>
      </rPr>
      <t xml:space="preserve">产品；有能耗限额标准用</t>
    </r>
    <r>
      <rPr>
        <sz val="9"/>
        <color rgb="FF6B7A71"/>
        <rFont val="Arial"/>
        <family val="0"/>
        <charset val="1"/>
      </rPr>
      <t xml:space="preserve">1</t>
    </r>
    <r>
      <rPr>
        <sz val="9"/>
        <color rgb="FF6B7A71"/>
        <rFont val="Noto Sans CJK SC"/>
        <family val="2"/>
      </rPr>
      <t xml:space="preserve">级</t>
    </r>
    <r>
      <rPr>
        <sz val="9"/>
        <color rgb="FF6B7A71"/>
        <rFont val="Arial"/>
        <family val="0"/>
        <charset val="1"/>
      </rPr>
      <t xml:space="preserve">/2</t>
    </r>
    <r>
      <rPr>
        <sz val="9"/>
        <color rgb="FF6B7A71"/>
        <rFont val="Noto Sans CJK SC"/>
        <family val="2"/>
      </rPr>
      <t xml:space="preserve">级</t>
    </r>
  </si>
  <si>
    <t xml:space="preserve">指标2 碳排放强度</t>
  </si>
  <si>
    <r>
      <rPr>
        <sz val="9"/>
        <color rgb="FF6B7A71"/>
        <rFont val="Arial"/>
        <family val="0"/>
        <charset val="1"/>
      </rPr>
      <t xml:space="preserve">tCO2/</t>
    </r>
    <r>
      <rPr>
        <sz val="9"/>
        <color rgb="FF6B7A71"/>
        <rFont val="Noto Sans CJK SC"/>
        <family val="2"/>
      </rPr>
      <t xml:space="preserve">万元或</t>
    </r>
    <r>
      <rPr>
        <sz val="9"/>
        <color rgb="FF6B7A71"/>
        <rFont val="Arial"/>
        <family val="0"/>
        <charset val="1"/>
      </rPr>
      <t xml:space="preserve">tCO2/</t>
    </r>
    <r>
      <rPr>
        <sz val="9"/>
        <color rgb="FF6B7A71"/>
        <rFont val="Noto Sans CJK SC"/>
        <family val="2"/>
      </rPr>
      <t xml:space="preserve">产品</t>
    </r>
  </si>
  <si>
    <t xml:space="preserve">指标3 可再生能源利用率</t>
  </si>
  <si>
    <t xml:space="preserve">%</t>
  </si>
  <si>
    <t xml:space="preserve">指标5 原材料消耗强度</t>
  </si>
  <si>
    <t xml:space="preserve">原材料单位/万元或/产品</t>
  </si>
  <si>
    <t xml:space="preserve">指标6 取水强度</t>
  </si>
  <si>
    <r>
      <rPr>
        <sz val="9"/>
        <color rgb="FF6B7A71"/>
        <rFont val="Arial"/>
        <family val="0"/>
        <charset val="1"/>
      </rPr>
      <t xml:space="preserve">m³/</t>
    </r>
    <r>
      <rPr>
        <sz val="9"/>
        <color rgb="FF6B7A71"/>
        <rFont val="Noto Sans CJK SC"/>
        <family val="2"/>
      </rPr>
      <t xml:space="preserve">万元或</t>
    </r>
    <r>
      <rPr>
        <sz val="9"/>
        <color rgb="FF6B7A71"/>
        <rFont val="Arial"/>
        <family val="0"/>
        <charset val="1"/>
      </rPr>
      <t xml:space="preserve">m³/</t>
    </r>
    <r>
      <rPr>
        <sz val="9"/>
        <color rgb="FF6B7A71"/>
        <rFont val="Noto Sans CJK SC"/>
        <family val="2"/>
      </rPr>
      <t xml:space="preserve">产品；有用水定额用先进值</t>
    </r>
    <r>
      <rPr>
        <sz val="9"/>
        <color rgb="FF6B7A71"/>
        <rFont val="Arial"/>
        <family val="0"/>
        <charset val="1"/>
      </rPr>
      <t xml:space="preserve">/</t>
    </r>
    <r>
      <rPr>
        <sz val="9"/>
        <color rgb="FF6B7A71"/>
        <rFont val="Noto Sans CJK SC"/>
        <family val="2"/>
      </rPr>
      <t xml:space="preserve">通用值</t>
    </r>
  </si>
  <si>
    <t xml:space="preserve">指标7 工业用水重复利用率</t>
  </si>
  <si>
    <t xml:space="preserve">指标8 一般工业固废综合利用率</t>
  </si>
  <si>
    <t xml:space="preserve">指标10 绿色低碳改造投资额占比</t>
  </si>
  <si>
    <r>
      <rPr>
        <sz val="9"/>
        <color rgb="FF6B7A71"/>
        <rFont val="Arial"/>
        <family val="0"/>
        <charset val="1"/>
      </rPr>
      <t xml:space="preserve">%</t>
    </r>
    <r>
      <rPr>
        <sz val="9"/>
        <color rgb="FF6B7A71"/>
        <rFont val="Noto Sans CJK SC"/>
        <family val="2"/>
      </rPr>
      <t xml:space="preserve">（近三年投资</t>
    </r>
    <r>
      <rPr>
        <sz val="9"/>
        <color rgb="FF6B7A71"/>
        <rFont val="Arial"/>
        <family val="0"/>
        <charset val="1"/>
      </rPr>
      <t xml:space="preserve">÷</t>
    </r>
    <r>
      <rPr>
        <sz val="9"/>
        <color rgb="FF6B7A71"/>
        <rFont val="Noto Sans CJK SC"/>
        <family val="2"/>
      </rPr>
      <t xml:space="preserve">三年总产值）</t>
    </r>
  </si>
  <si>
    <t xml:space="preserve">指标11 主要污染物产生或排放强度</t>
  </si>
  <si>
    <t xml:space="preserve">污染物单位/万元或/产品</t>
  </si>
  <si>
    <t xml:space="preserve">指标14 土地产出率</t>
  </si>
  <si>
    <t xml:space="preserve">万元/m²（或产品单位/m²）</t>
  </si>
  <si>
    <t xml:space="preserve">指标4能碳管理系统为固定值（引领8项、基准0项）；指标9、12、13为定性项，不需要对标值</t>
  </si>
  <si>
    <r>
      <rPr>
        <b val="true"/>
        <sz val="14"/>
        <color rgb="FF2F5D46"/>
        <rFont val="Arial"/>
        <family val="0"/>
        <charset val="1"/>
      </rPr>
      <t xml:space="preserve">6 </t>
    </r>
    <r>
      <rPr>
        <b val="true"/>
        <sz val="14"/>
        <color rgb="FF2F5D46"/>
        <rFont val="Noto Sans CJK SC"/>
        <family val="2"/>
      </rPr>
      <t xml:space="preserve">得分（自动计算，请勿修改）</t>
    </r>
  </si>
  <si>
    <t xml:space="preserve">按 GB/T 36132—2025 和工信部年度评价要求的14项指标；定量项在基准值和引领值之间线性得分</t>
  </si>
  <si>
    <t xml:space="preserve">一级指标</t>
  </si>
  <si>
    <t xml:space="preserve">满分</t>
  </si>
  <si>
    <t xml:space="preserve">确定得分</t>
  </si>
  <si>
    <t xml:space="preserve">上限</t>
  </si>
  <si>
    <t xml:space="preserve">强度分母</t>
  </si>
  <si>
    <t xml:space="preserve">确定分</t>
  </si>
  <si>
    <t xml:space="preserve">能源低碳化</t>
  </si>
  <si>
    <t xml:space="preserve">待定分（缺数据或缺对标值的满分合计）</t>
  </si>
  <si>
    <t xml:space="preserve">资源高效化</t>
  </si>
  <si>
    <t xml:space="preserve">否决标志</t>
  </si>
  <si>
    <t xml:space="preserve">生产洁净化</t>
  </si>
  <si>
    <t xml:space="preserve">待核实标志</t>
  </si>
  <si>
    <t xml:space="preserve">门槛核查</t>
  </si>
  <si>
    <t xml:space="preserve">产品绿色化</t>
  </si>
  <si>
    <t xml:space="preserve">存疑标志</t>
  </si>
  <si>
    <t xml:space="preserve">适用分数线（目标层级）</t>
  </si>
  <si>
    <t xml:space="preserve">用地集约化</t>
  </si>
  <si>
    <t xml:space="preserve">按分数结论</t>
  </si>
  <si>
    <t xml:space="preserve">结论</t>
  </si>
  <si>
    <t xml:space="preserve">当前层级（直辖市市级=省级）</t>
  </si>
  <si>
    <t xml:space="preserve">离分数线还差</t>
  </si>
  <si>
    <t xml:space="preserve">目标层级（直辖市市级=省级）</t>
  </si>
  <si>
    <t xml:space="preserve">分数线说明</t>
  </si>
  <si>
    <t xml:space="preserve">序号</t>
  </si>
  <si>
    <t xml:space="preserve">类型</t>
  </si>
  <si>
    <t xml:space="preserve">实际值</t>
  </si>
  <si>
    <t xml:space="preserve">得分</t>
  </si>
  <si>
    <t xml:space="preserve">状态</t>
  </si>
  <si>
    <t xml:space="preserve">能源消耗强度</t>
  </si>
  <si>
    <t xml:space="preserve">逆向</t>
  </si>
  <si>
    <t xml:space="preserve">碳排放强度</t>
  </si>
  <si>
    <t xml:space="preserve">可再生能源利用率</t>
  </si>
  <si>
    <t xml:space="preserve">正向</t>
  </si>
  <si>
    <t xml:space="preserve">能碳管理系统平台功能符合数量</t>
  </si>
  <si>
    <t xml:space="preserve">项</t>
  </si>
  <si>
    <t xml:space="preserve">原材料消耗强度</t>
  </si>
  <si>
    <t xml:space="preserve">取水强度</t>
  </si>
  <si>
    <t xml:space="preserve">工业用水重复利用率</t>
  </si>
  <si>
    <t xml:space="preserve">一般工业固体废物综合利用率</t>
  </si>
  <si>
    <t xml:space="preserve">生产工艺和设备先进性</t>
  </si>
  <si>
    <t xml:space="preserve">定性</t>
  </si>
  <si>
    <t xml:space="preserve">档</t>
  </si>
  <si>
    <t xml:space="preserve">—</t>
  </si>
  <si>
    <t xml:space="preserve">绿色低碳改造升级项目投资额占比</t>
  </si>
  <si>
    <t xml:space="preserve">主要污染物产生或排放强度</t>
  </si>
  <si>
    <t xml:space="preserve">绿色设计</t>
  </si>
  <si>
    <t xml:space="preserve">产品碳足迹</t>
  </si>
  <si>
    <t xml:space="preserve">土地产出率</t>
  </si>
  <si>
    <t xml:space="preserve">万元/m²</t>
  </si>
  <si>
    <t xml:space="preserve">定性项（9、12、13）按满分、半分、零分估计；重点行业以平台的行业评价要求为准。结果是按规则推算，不是官方评审结论。</t>
  </si>
  <si>
    <t xml:space="preserve">参数（引用的缺省值与出处，一般不需要改）</t>
  </si>
  <si>
    <t xml:space="preserve">省份</t>
  </si>
  <si>
    <r>
      <rPr>
        <b val="true"/>
        <sz val="10"/>
        <color rgb="FF2F5D46"/>
        <rFont val="Arial"/>
        <family val="0"/>
        <charset val="1"/>
      </rPr>
      <t xml:space="preserve">2023</t>
    </r>
    <r>
      <rPr>
        <b val="true"/>
        <sz val="10"/>
        <color rgb="FF2F5D46"/>
        <rFont val="Noto Sans CJK SC"/>
        <family val="2"/>
      </rPr>
      <t xml:space="preserve">年电力排放因子 </t>
    </r>
    <r>
      <rPr>
        <b val="true"/>
        <sz val="10"/>
        <color rgb="FF2F5D46"/>
        <rFont val="Arial"/>
        <family val="0"/>
        <charset val="1"/>
      </rPr>
      <t xml:space="preserve">kgCO2/kWh</t>
    </r>
  </si>
  <si>
    <t xml:space="preserve">能源</t>
  </si>
  <si>
    <t xml:space="preserve">燃料</t>
  </si>
  <si>
    <t xml:space="preserve">低位热值</t>
  </si>
  <si>
    <t xml:space="preserve">含碳量 tC/TJ</t>
  </si>
  <si>
    <t xml:space="preserve">碳氧化率</t>
  </si>
  <si>
    <t xml:space="preserve">热值单位折算</t>
  </si>
  <si>
    <t xml:space="preserve">排放因子 tCO2/单位</t>
  </si>
  <si>
    <t xml:space="preserve">北京</t>
  </si>
  <si>
    <t xml:space="preserve">电力（当量值）</t>
  </si>
  <si>
    <t xml:space="preserve">kgce/kWh</t>
  </si>
  <si>
    <t xml:space="preserve">天然气（每m³）</t>
  </si>
  <si>
    <t xml:space="preserve">天津</t>
  </si>
  <si>
    <t xml:space="preserve">kgce/m³</t>
  </si>
  <si>
    <t xml:space="preserve">柴油（每t）</t>
  </si>
  <si>
    <t xml:space="preserve">河北</t>
  </si>
  <si>
    <t xml:space="preserve">kgce/kg</t>
  </si>
  <si>
    <t xml:space="preserve">汽油（每t）</t>
  </si>
  <si>
    <t xml:space="preserve">山西</t>
  </si>
  <si>
    <t xml:space="preserve">液化石油气（每t）</t>
  </si>
  <si>
    <t xml:space="preserve">内蒙古</t>
  </si>
  <si>
    <t xml:space="preserve">燃料油（每t）</t>
  </si>
  <si>
    <t xml:space="preserve">辽宁</t>
  </si>
  <si>
    <t xml:space="preserve">原煤（每t）</t>
  </si>
  <si>
    <t xml:space="preserve">吉林</t>
  </si>
  <si>
    <t xml:space="preserve">焦炭（每t）</t>
  </si>
  <si>
    <t xml:space="preserve">黑龙江</t>
  </si>
  <si>
    <t xml:space="preserve">外购热力（每GJ）</t>
  </si>
  <si>
    <t xml:space="preserve">上海</t>
  </si>
  <si>
    <t xml:space="preserve">热力</t>
  </si>
  <si>
    <t xml:space="preserve">kgce/GJ</t>
  </si>
  <si>
    <t xml:space="preserve">出处：GB/T 32150 常用缺省值；天然气低位热值单位为 GJ/万m³，故折算除以10000</t>
  </si>
  <si>
    <t xml:space="preserve">浙江</t>
  </si>
  <si>
    <t xml:space="preserve">出处：GB/T 2589—2020 附录A参考系数；电力按国家统计局能源统计口径取当量值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</si>
  <si>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</si>
  <si>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</si>
  <si>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</si>
  <si>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</si>
  <si>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</si>
  <si>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</si>
  <si>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</si>
  <si>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</si>
  <si>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</si>
  <si>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</si>
  <si>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</si>
  <si>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</si>
  <si>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</si>
  <si>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</si>
  <si>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</si>
  <si>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</si>
  <si>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</si>
  <si>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</si>
  <si>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</si>
  <si>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全国</t>
  </si>
  <si>
    <t xml:space="preserve">全国（不含市场化交易非化石电量，市场法用）</t>
  </si>
  <si>
    <t xml:space="preserve">出处：生态环境部 国家统计局 公告2025年第47号（2023年电力二氧化碳排放因子）</t>
  </si>
  <si>
    <t xml:space="preserve">缺省分数线（当地通知未给或未填时使用）</t>
  </si>
  <si>
    <t xml:space="preserve">非重点行业</t>
  </si>
  <si>
    <t xml:space="preserve">出处：安徽省工信厅2026年度省级绿色工厂推荐通知（原则上重点≥60、非重点≥75）；其他地区以当地通知为准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</si>
</sst>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00"/>
    <numFmt numFmtId="167" formatCode="#,##0.00"/>
    <numFmt numFmtId="168" formatCode="0.000000"/>
    <numFmt numFmtId="169" formatCode="0.00"/>
    <numFmt numFmtId="170" formatCode="0"/>
    <numFmt numFmtId="171" formatCode="0.0"/>
    <numFmt numFmtId="172" formatCode="General"/>
    <numFmt numFmtId="173" formatCode="@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D46"/>
      <name val="Noto Sans CJK SC"/>
      <family val="2"/>
      <charset val="1"/>
    </font>
    <font>
      <sz val="9"/>
      <color rgb="FF6B7A71"/>
      <name val="Noto Sans CJK SC"/>
      <family val="2"/>
      <charset val="1"/>
    </font>
    <font>
      <b val="true"/>
      <sz val="10"/>
      <color rgb="FF2F5D46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4"/>
      <color rgb="FF2F5D46"/>
      <name val="Arial"/>
      <family val="0"/>
      <charset val="1"/>
    </font>
    <font>
      <b val="true"/>
      <sz val="14"/>
      <color rgb="FF2F5D46"/>
      <name val="Noto Sans CJK SC"/>
      <family val="2"/>
    </font>
    <font>
      <sz val="10"/>
      <color rgb="FF0000FF"/>
      <name val="Noto Sans CJK SC"/>
      <family val="2"/>
      <charset val="1"/>
    </font>
    <font>
      <sz val="10"/>
      <color rgb="FF0000FF"/>
      <name val="Arial"/>
      <family val="0"/>
      <charset val="1"/>
    </font>
    <font>
      <sz val="11"/>
      <color theme="1"/>
      <name val="Noto Sans CJK SC"/>
      <family val="2"/>
      <charset val="1"/>
    </font>
    <font>
      <sz val="10"/>
      <name val="Noto Sans CJK SC"/>
      <family val="2"/>
    </font>
    <font>
      <sz val="9"/>
      <color rgb="FF6B7A71"/>
      <name val="Arial"/>
      <family val="0"/>
      <charset val="1"/>
    </font>
    <font>
      <sz val="10"/>
      <name val="Arial"/>
      <family val="0"/>
      <charset val="1"/>
    </font>
    <font>
      <sz val="9"/>
      <color rgb="FF6B7A71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2F5D46"/>
      <name val="Arial"/>
      <family val="0"/>
      <charset val="1"/>
    </font>
    <font>
      <b val="true"/>
      <sz val="10"/>
      <color rgb="FF2F5D46"/>
      <name val="Noto Sans CJK SC"/>
      <family val="2"/>
    </font>
    <font>
      <b val="true"/>
      <sz val="12"/>
      <color rgb="FF2F5D46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9F0EB"/>
        <bgColor rgb="FFFFF4D6"/>
      </patternFill>
    </fill>
    <fill>
      <patternFill patternType="solid">
        <fgColor rgb="FFFFF4D6"/>
        <bgColor rgb="FFE9F0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DC3"/>
      </left>
      <right style="thin">
        <color rgb="FFBFCDC3"/>
      </right>
      <top style="thin">
        <color rgb="FFBFCDC3"/>
      </top>
      <bottom style="thin">
        <color rgb="FFBFCD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2E7D4F"/>
      </font>
    </dxf>
    <dxf>
      <font>
        <b val="1"/>
        <color rgb="FFB23A2E"/>
      </font>
    </dxf>
    <dxf>
      <font>
        <b val="1"/>
        <color rgb="FFB7791F"/>
      </font>
    </dxf>
    <dxf>
      <font>
        <b val="1"/>
        <color rgb="FF2E7D4F"/>
        <sz val="12"/>
      </font>
    </dxf>
    <dxf>
      <font>
        <b val="1"/>
        <color rgb="FFB23A2E"/>
        <sz val="12"/>
      </font>
    </dxf>
    <dxf>
      <font>
        <b val="1"/>
        <color rgb="FFB7791F"/>
        <sz val="12"/>
      </font>
    </dxf>
  </dxfs>
  <colors>
    <indexedColors>
      <rgbColor rgb="FF000000"/>
      <rgbColor rgb="FFE9F0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FCDC3"/>
      <rgbColor rgb="FF6B7A71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4F"/>
      <rgbColor rgb="FF003300"/>
      <rgbColor rgb="FF333300"/>
      <rgbColor rgb="FFB23A2E"/>
      <rgbColor rgb="FF993366"/>
      <rgbColor rgb="FF333399"/>
      <rgbColor rgb="FF2F5D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92"/>
  </cols>
  <sheetData>
    <row r="2" customFormat="false" ht="21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 t="s">
        <v>3</v>
      </c>
    </row>
    <row r="6" customFormat="false" ht="31.5" hidden="false" customHeight="true" outlineLevel="0" collapsed="false">
      <c r="B6" s="5" t="s">
        <v>4</v>
      </c>
      <c r="C6" s="6" t="s">
        <v>5</v>
      </c>
    </row>
    <row r="7" customFormat="false" ht="31.5" hidden="false" customHeight="true" outlineLevel="0" collapsed="false">
      <c r="B7" s="5" t="s">
        <v>6</v>
      </c>
      <c r="C7" s="6" t="s">
        <v>7</v>
      </c>
    </row>
    <row r="8" customFormat="false" ht="31.5" hidden="false" customHeight="true" outlineLevel="0" collapsed="false">
      <c r="B8" s="5" t="s">
        <v>8</v>
      </c>
      <c r="C8" s="6" t="s">
        <v>9</v>
      </c>
    </row>
    <row r="9" customFormat="false" ht="31.5" hidden="false" customHeight="true" outlineLevel="0" collapsed="false">
      <c r="B9" s="5" t="s">
        <v>10</v>
      </c>
      <c r="C9" s="6" t="s">
        <v>11</v>
      </c>
    </row>
    <row r="10" customFormat="false" ht="31.5" hidden="false" customHeight="true" outlineLevel="0" collapsed="false">
      <c r="B10" s="5" t="s">
        <v>12</v>
      </c>
      <c r="C10" s="6" t="s">
        <v>13</v>
      </c>
    </row>
    <row r="11" customFormat="false" ht="31.5" hidden="false" customHeight="true" outlineLevel="0" collapsed="false">
      <c r="B11" s="5" t="s">
        <v>14</v>
      </c>
      <c r="C11" s="6" t="s">
        <v>15</v>
      </c>
    </row>
    <row r="12" customFormat="false" ht="31.5" hidden="false" customHeight="true" outlineLevel="0" collapsed="false">
      <c r="B12" s="5" t="s">
        <v>16</v>
      </c>
      <c r="C12" s="6" t="s">
        <v>17</v>
      </c>
    </row>
    <row r="13" customFormat="false" ht="31.5" hidden="false" customHeight="true" outlineLevel="0" collapsed="false">
      <c r="B13" s="5" t="s">
        <v>18</v>
      </c>
      <c r="C13" s="6" t="s">
        <v>19</v>
      </c>
    </row>
    <row r="15" customFormat="false" ht="43.5" hidden="false" customHeight="true" outlineLevel="0" collapsed="false">
      <c r="B15" s="7" t="s">
        <v>20</v>
      </c>
      <c r="C15" s="8" t="s">
        <v>21</v>
      </c>
    </row>
    <row r="16" customFormat="false" ht="43.5" hidden="false" customHeight="true" outlineLevel="0" collapsed="false">
      <c r="B16" s="7" t="s">
        <v>22</v>
      </c>
      <c r="C16" s="8" t="s">
        <v>23</v>
      </c>
    </row>
    <row r="17" customFormat="false" ht="43.5" hidden="false" customHeight="true" outlineLevel="0" collapsed="false">
      <c r="B17" s="7" t="s">
        <v>3</v>
      </c>
      <c r="C17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8"/>
    <col collapsed="false" customWidth="true" hidden="false" outlineLevel="0" max="3" min="3" style="1" width="22"/>
    <col collapsed="false" customWidth="true" hidden="false" outlineLevel="0" max="4" min="4" style="1" width="44"/>
  </cols>
  <sheetData>
    <row r="2" customFormat="false" ht="21" hidden="false" customHeight="true" outlineLevel="0" collapsed="false">
      <c r="B2" s="9" t="s">
        <v>25</v>
      </c>
    </row>
    <row r="3" customFormat="false" ht="15" hidden="false" customHeight="true" outlineLevel="0" collapsed="false">
      <c r="B3" s="3" t="s">
        <v>26</v>
      </c>
    </row>
    <row r="5" customFormat="false" ht="15" hidden="false" customHeight="true" outlineLevel="0" collapsed="false">
      <c r="B5" s="4" t="s">
        <v>27</v>
      </c>
      <c r="C5" s="4" t="s">
        <v>28</v>
      </c>
      <c r="D5" s="4" t="s">
        <v>3</v>
      </c>
      <c r="E5" s="4"/>
    </row>
    <row r="6" customFormat="false" ht="15" hidden="false" customHeight="true" outlineLevel="0" collapsed="false">
      <c r="B6" s="6" t="s">
        <v>29</v>
      </c>
      <c r="C6" s="10" t="s">
        <v>30</v>
      </c>
    </row>
    <row r="7" customFormat="false" ht="15" hidden="false" customHeight="true" outlineLevel="0" collapsed="false">
      <c r="B7" s="6" t="s">
        <v>31</v>
      </c>
      <c r="C7" s="10" t="s">
        <v>32</v>
      </c>
      <c r="D7" s="11" t="s">
        <v>33</v>
      </c>
    </row>
    <row r="8" customFormat="false" ht="15" hidden="false" customHeight="true" outlineLevel="0" collapsed="false">
      <c r="B8" s="6" t="s">
        <v>34</v>
      </c>
      <c r="C8" s="10" t="s">
        <v>35</v>
      </c>
    </row>
    <row r="9" customFormat="false" ht="15" hidden="false" customHeight="true" outlineLevel="0" collapsed="false">
      <c r="B9" s="6" t="s">
        <v>36</v>
      </c>
      <c r="C9" s="12" t="s">
        <v>37</v>
      </c>
      <c r="D9" s="11" t="s">
        <v>38</v>
      </c>
    </row>
    <row r="10" customFormat="false" ht="15" hidden="false" customHeight="true" outlineLevel="0" collapsed="false">
      <c r="B10" s="6" t="s">
        <v>39</v>
      </c>
      <c r="C10" s="10" t="s">
        <v>40</v>
      </c>
      <c r="D10" s="11" t="s">
        <v>41</v>
      </c>
    </row>
    <row r="11" customFormat="false" ht="15" hidden="false" customHeight="true" outlineLevel="0" collapsed="false">
      <c r="B11" s="6" t="s">
        <v>42</v>
      </c>
      <c r="C11" s="10" t="s">
        <v>43</v>
      </c>
      <c r="D11" s="11" t="s">
        <v>44</v>
      </c>
    </row>
    <row r="12" customFormat="false" ht="15" hidden="false" customHeight="true" outlineLevel="0" collapsed="false">
      <c r="B12" s="6" t="s">
        <v>45</v>
      </c>
      <c r="C12" s="10" t="s">
        <v>46</v>
      </c>
      <c r="D12" s="13" t="s">
        <v>47</v>
      </c>
    </row>
    <row r="13" customFormat="false" ht="15" hidden="false" customHeight="true" outlineLevel="0" collapsed="false">
      <c r="B13" s="6" t="s">
        <v>48</v>
      </c>
      <c r="C13" s="10" t="s">
        <v>49</v>
      </c>
      <c r="D13" s="11" t="s">
        <v>50</v>
      </c>
    </row>
    <row r="14" customFormat="false" ht="15" hidden="false" customHeight="true" outlineLevel="0" collapsed="false">
      <c r="B14" s="6" t="s">
        <v>51</v>
      </c>
      <c r="C14" s="14" t="n">
        <v>2025</v>
      </c>
      <c r="D14" s="11" t="s">
        <v>52</v>
      </c>
    </row>
    <row r="15" customFormat="false" ht="15" hidden="false" customHeight="true" outlineLevel="0" collapsed="false">
      <c r="B15" s="6" t="s">
        <v>53</v>
      </c>
      <c r="C15" s="10" t="s">
        <v>54</v>
      </c>
      <c r="D15" s="11" t="s">
        <v>55</v>
      </c>
    </row>
    <row r="16" customFormat="false" ht="15" hidden="false" customHeight="true" outlineLevel="0" collapsed="false">
      <c r="B16" s="6" t="s">
        <v>56</v>
      </c>
      <c r="C16" s="10" t="s">
        <v>57</v>
      </c>
      <c r="D16" s="11" t="s">
        <v>58</v>
      </c>
    </row>
    <row r="17" customFormat="false" ht="15" hidden="false" customHeight="true" outlineLevel="0" collapsed="false">
      <c r="B17" s="6" t="s">
        <v>59</v>
      </c>
      <c r="C17" s="10" t="s">
        <v>60</v>
      </c>
      <c r="D17" s="11" t="s">
        <v>61</v>
      </c>
    </row>
    <row r="18" customFormat="false" ht="15" hidden="false" customHeight="true" outlineLevel="0" collapsed="false">
      <c r="B18" s="6" t="s">
        <v>62</v>
      </c>
      <c r="C18" s="10" t="s">
        <v>63</v>
      </c>
      <c r="D18" s="11" t="s">
        <v>64</v>
      </c>
    </row>
    <row r="20" customFormat="false" ht="15" hidden="false" customHeight="true" outlineLevel="0" collapsed="false">
      <c r="B20" s="4" t="s">
        <v>65</v>
      </c>
      <c r="C20" s="4" t="s">
        <v>66</v>
      </c>
      <c r="D20" s="4" t="s">
        <v>3</v>
      </c>
    </row>
    <row r="21" customFormat="false" ht="29.25" hidden="false" customHeight="true" outlineLevel="0" collapsed="false">
      <c r="B21" s="6" t="s">
        <v>67</v>
      </c>
      <c r="C21" s="10" t="s">
        <v>43</v>
      </c>
      <c r="D21" s="11" t="s">
        <v>68</v>
      </c>
    </row>
    <row r="22" customFormat="false" ht="29.25" hidden="false" customHeight="true" outlineLevel="0" collapsed="false">
      <c r="B22" s="6" t="s">
        <v>69</v>
      </c>
      <c r="C22" s="10" t="s">
        <v>43</v>
      </c>
      <c r="D22" s="11" t="s">
        <v>68</v>
      </c>
    </row>
    <row r="23" customFormat="false" ht="15" hidden="false" customHeight="true" outlineLevel="0" collapsed="false">
      <c r="B23" s="6" t="s">
        <v>70</v>
      </c>
      <c r="C23" s="10" t="s">
        <v>43</v>
      </c>
      <c r="D23" s="11" t="s">
        <v>68</v>
      </c>
    </row>
    <row r="24" customFormat="false" ht="15" hidden="false" customHeight="true" outlineLevel="0" collapsed="false">
      <c r="B24" s="6" t="s">
        <v>71</v>
      </c>
      <c r="C24" s="10" t="s">
        <v>43</v>
      </c>
      <c r="D24" s="11" t="s">
        <v>68</v>
      </c>
    </row>
    <row r="25" customFormat="false" ht="15" hidden="false" customHeight="true" outlineLevel="0" collapsed="false">
      <c r="B25" s="6" t="s">
        <v>72</v>
      </c>
      <c r="C25" s="10" t="s">
        <v>43</v>
      </c>
      <c r="D25" s="11" t="s">
        <v>68</v>
      </c>
    </row>
    <row r="26" customFormat="false" ht="15" hidden="false" customHeight="true" outlineLevel="0" collapsed="false">
      <c r="B26" s="6" t="s">
        <v>73</v>
      </c>
      <c r="C26" s="10" t="s">
        <v>43</v>
      </c>
      <c r="D26" s="11" t="s">
        <v>68</v>
      </c>
    </row>
    <row r="27" customFormat="false" ht="15" hidden="false" customHeight="true" outlineLevel="0" collapsed="false">
      <c r="B27" s="6" t="s">
        <v>74</v>
      </c>
      <c r="C27" s="10" t="s">
        <v>43</v>
      </c>
      <c r="D27" s="11" t="s">
        <v>68</v>
      </c>
    </row>
    <row r="28" customFormat="false" ht="15" hidden="false" customHeight="true" outlineLevel="0" collapsed="false">
      <c r="B28" s="6" t="s">
        <v>75</v>
      </c>
      <c r="C28" s="10" t="s">
        <v>43</v>
      </c>
      <c r="D28" s="11" t="s">
        <v>68</v>
      </c>
    </row>
    <row r="29" customFormat="false" ht="29.25" hidden="false" customHeight="true" outlineLevel="0" collapsed="false">
      <c r="B29" s="6" t="s">
        <v>76</v>
      </c>
      <c r="C29" s="10" t="s">
        <v>43</v>
      </c>
      <c r="D29" s="11" t="s">
        <v>77</v>
      </c>
    </row>
    <row r="31" customFormat="false" ht="15" hidden="false" customHeight="true" outlineLevel="0" collapsed="false">
      <c r="B31" s="4" t="s">
        <v>78</v>
      </c>
      <c r="C31" s="4" t="s">
        <v>28</v>
      </c>
      <c r="D31" s="4" t="s">
        <v>3</v>
      </c>
    </row>
    <row r="32" customFormat="false" ht="15" hidden="false" customHeight="true" outlineLevel="0" collapsed="false">
      <c r="B32" s="6" t="s">
        <v>79</v>
      </c>
      <c r="C32" s="10" t="s">
        <v>40</v>
      </c>
      <c r="D32" s="11" t="s">
        <v>80</v>
      </c>
    </row>
    <row r="33" customFormat="false" ht="15" hidden="false" customHeight="true" outlineLevel="0" collapsed="false">
      <c r="B33" s="6" t="s">
        <v>81</v>
      </c>
      <c r="C33" s="10" t="s">
        <v>82</v>
      </c>
      <c r="D33" s="11" t="s">
        <v>83</v>
      </c>
    </row>
    <row r="34" customFormat="false" ht="15" hidden="false" customHeight="true" outlineLevel="0" collapsed="false">
      <c r="B34" s="6" t="s">
        <v>84</v>
      </c>
      <c r="C34" s="10" t="s">
        <v>82</v>
      </c>
      <c r="D34" s="11" t="s">
        <v>83</v>
      </c>
    </row>
    <row r="35" customFormat="false" ht="15" hidden="false" customHeight="true" outlineLevel="0" collapsed="false">
      <c r="B35" s="6" t="s">
        <v>85</v>
      </c>
      <c r="C35" s="10" t="s">
        <v>86</v>
      </c>
      <c r="D35" s="11" t="s">
        <v>83</v>
      </c>
    </row>
    <row r="36" customFormat="false" ht="15" hidden="false" customHeight="true" outlineLevel="0" collapsed="false">
      <c r="B36" s="6" t="s">
        <v>87</v>
      </c>
      <c r="C36" s="10" t="s">
        <v>82</v>
      </c>
      <c r="D36" s="11" t="s">
        <v>83</v>
      </c>
    </row>
    <row r="38" customFormat="false" ht="15" hidden="false" customHeight="true" outlineLevel="0" collapsed="false">
      <c r="B38" s="4" t="s">
        <v>88</v>
      </c>
      <c r="C38" s="4" t="s">
        <v>89</v>
      </c>
      <c r="D38" s="4" t="s">
        <v>3</v>
      </c>
    </row>
    <row r="39" customFormat="false" ht="15" hidden="false" customHeight="true" outlineLevel="0" collapsed="false">
      <c r="B39" s="6" t="s">
        <v>90</v>
      </c>
      <c r="C39" s="10"/>
      <c r="D39" s="11" t="s">
        <v>91</v>
      </c>
    </row>
    <row r="40" customFormat="false" ht="15" hidden="false" customHeight="true" outlineLevel="0" collapsed="false">
      <c r="B40" s="6" t="s">
        <v>92</v>
      </c>
      <c r="C40" s="10"/>
      <c r="D40" s="11" t="s">
        <v>93</v>
      </c>
    </row>
    <row r="41" customFormat="false" ht="15" hidden="false" customHeight="true" outlineLevel="0" collapsed="false">
      <c r="B41" s="6" t="s">
        <v>94</v>
      </c>
      <c r="C41" s="10"/>
      <c r="D41" s="11" t="s">
        <v>95</v>
      </c>
    </row>
  </sheetData>
  <mergeCells count="1">
    <mergeCell ref="D5:E5"/>
  </mergeCells>
  <dataValidations count="9">
    <dataValidation allowBlank="true" error="请从下拉列表选择" errorStyle="stop" errorTitle="输入无效" operator="between" showDropDown="false" showErrorMessage="false" showInputMessage="false" sqref="C10:C11" type="list">
      <formula1>"是,否"</formula1>
      <formula2>0</formula2>
    </dataValidation>
    <dataValidation allowBlank="true" error="请从下拉列表选择" errorStyle="stop" errorTitle="输入无效" operator="between" showDropDown="false" showErrorMessage="false" showInputMessage="false" sqref="C12" type="list">
      <formula1>"市级,省级,国家级"</formula1>
      <formula2>0</formula2>
    </dataValidation>
    <dataValidation allowBlank="true" error="请从下拉列表选择" errorStyle="stop" errorTitle="输入无效" operator="between" showDropDown="false" showErrorMessage="false" showInputMessage="false" sqref="C13" type="list">
      <formula1>"无,市级,省级,国家级"</formula1>
      <formula2>0</formula2>
    </dataValidation>
    <dataValidation allowBlank="true" error="请从下拉列表选择" errorStyle="stop" errorTitle="输入无效" operator="between" showDropDown="false" showErrorMessage="false" showInputMessage="false" sqref="C15" type="list">
      <formula1>"无,基础级,先进级,卓越级,领航级"</formula1>
      <formula2>0</formula2>
    </dataValidation>
    <dataValidation allowBlank="true" error="请从下拉列表选择" errorStyle="stop" errorTitle="输入无效" operator="between" showDropDown="false" showErrorMessage="false" showInputMessage="false" sqref="C17" type="list">
      <formula1>"产值,产量"</formula1>
      <formula2>0</formula2>
    </dataValidation>
    <dataValidation allowBlank="true" error="请从下拉列表选择" errorStyle="stop" errorTitle="输入无效" operator="between" showDropDown="false" showErrorMessage="false" showInputMessage="false" sqref="C21:C29" type="list">
      <formula1>"否,是,不确定"</formula1>
      <formula2>0</formula2>
    </dataValidation>
    <dataValidation allowBlank="true" error="请从下拉列表选择" errorStyle="stop" errorTitle="输入无效" operator="between" showDropDown="false" showErrorMessage="false" showInputMessage="false" sqref="C32" type="list">
      <formula1>"是,部分,否"</formula1>
      <formula2>0</formula2>
    </dataValidation>
    <dataValidation allowBlank="true" error="请从下拉列表选择" errorStyle="stop" errorTitle="输入无效" operator="between" showDropDown="false" showErrorMessage="false" showInputMessage="false" sqref="C33:C36" type="list">
      <formula1>"认证,建立运行,未建立"</formula1>
      <formula2>0</formula2>
    </dataValidation>
    <dataValidation allowBlank="true" error="请选择省份简称（如“浙江”），用于选取电力排放因子。计划单列市选所在省。" errorStyle="stop" errorTitle="请从列表选择" operator="between" showDropDown="false" showErrorMessage="true" showInputMessage="false" sqref="C7" type="list">
      <formula1>参数!$A$4:$A$33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36"/>
  </cols>
  <sheetData>
    <row r="2" customFormat="false" ht="21" hidden="false" customHeight="true" outlineLevel="0" collapsed="false">
      <c r="B2" s="9" t="s">
        <v>96</v>
      </c>
    </row>
    <row r="3" customFormat="false" ht="15" hidden="false" customHeight="true" outlineLevel="0" collapsed="false">
      <c r="B3" s="3" t="s">
        <v>97</v>
      </c>
    </row>
    <row r="4" customFormat="false" ht="15" hidden="false" customHeight="true" outlineLevel="0" collapsed="false">
      <c r="B4" s="4" t="s">
        <v>27</v>
      </c>
      <c r="C4" s="4" t="s">
        <v>98</v>
      </c>
      <c r="D4" s="4" t="s">
        <v>99</v>
      </c>
      <c r="E4" s="4" t="s">
        <v>100</v>
      </c>
      <c r="F4" s="4" t="s">
        <v>101</v>
      </c>
      <c r="G4" s="4" t="s">
        <v>102</v>
      </c>
      <c r="H4" s="4" t="s">
        <v>103</v>
      </c>
      <c r="I4" s="4" t="s">
        <v>3</v>
      </c>
    </row>
    <row r="5" customFormat="false" ht="15" hidden="false" customHeight="true" outlineLevel="0" collapsed="false">
      <c r="B5" s="6" t="s">
        <v>104</v>
      </c>
      <c r="C5" s="15" t="n">
        <v>18900000</v>
      </c>
      <c r="D5" s="16" t="s">
        <v>105</v>
      </c>
      <c r="E5" s="17" t="n">
        <f aca="false">参数!$E$4</f>
        <v>0.1229</v>
      </c>
      <c r="F5" s="18" t="n">
        <f aca="false">C5*E5/1000</f>
        <v>2322.81</v>
      </c>
      <c r="G5" s="19" t="n">
        <f aca="false">$C$33</f>
        <v>0.5827</v>
      </c>
      <c r="H5" s="18" t="n">
        <f aca="false">IF($C$25="市场法",MAX(C5-$C$29,0),C5)*G5/1000</f>
        <v>11013.03</v>
      </c>
      <c r="I5" s="11" t="s">
        <v>106</v>
      </c>
    </row>
    <row r="6" customFormat="false" ht="15" hidden="false" customHeight="true" outlineLevel="0" collapsed="false">
      <c r="B6" s="6" t="s">
        <v>107</v>
      </c>
      <c r="C6" s="15" t="n">
        <v>2600000</v>
      </c>
      <c r="D6" s="16" t="s">
        <v>105</v>
      </c>
      <c r="E6" s="17" t="n">
        <f aca="false">参数!$E$4</f>
        <v>0.1229</v>
      </c>
      <c r="F6" s="18" t="n">
        <f aca="false">C6*E6/1000</f>
        <v>319.54</v>
      </c>
      <c r="G6" s="17" t="n">
        <v>0</v>
      </c>
      <c r="H6" s="18" t="n">
        <f aca="false">C6*G6/1000</f>
        <v>0</v>
      </c>
      <c r="I6" s="11" t="s">
        <v>108</v>
      </c>
    </row>
    <row r="7" customFormat="false" ht="15" hidden="false" customHeight="true" outlineLevel="0" collapsed="false">
      <c r="B7" s="6" t="s">
        <v>109</v>
      </c>
      <c r="C7" s="10"/>
      <c r="D7" s="16" t="s">
        <v>105</v>
      </c>
      <c r="E7" s="17" t="n">
        <f aca="false">参数!$E$4</f>
        <v>0.1229</v>
      </c>
      <c r="F7" s="18" t="n">
        <f aca="false">C7*E7/1000</f>
        <v>0</v>
      </c>
      <c r="G7" s="17" t="n">
        <v>0</v>
      </c>
      <c r="H7" s="18" t="n">
        <f aca="false">C7*G7/1000</f>
        <v>0</v>
      </c>
      <c r="I7" s="11" t="s">
        <v>110</v>
      </c>
    </row>
    <row r="8" customFormat="false" ht="15" hidden="false" customHeight="true" outlineLevel="0" collapsed="false">
      <c r="B8" s="6" t="s">
        <v>111</v>
      </c>
      <c r="C8" s="14" t="n">
        <v>0</v>
      </c>
      <c r="D8" s="16" t="s">
        <v>105</v>
      </c>
      <c r="I8" s="11" t="s">
        <v>112</v>
      </c>
    </row>
    <row r="9" customFormat="false" ht="15" hidden="false" customHeight="true" outlineLevel="0" collapsed="false">
      <c r="B9" s="6" t="s">
        <v>113</v>
      </c>
      <c r="C9" s="14" t="n">
        <v>0</v>
      </c>
      <c r="D9" s="16" t="s">
        <v>114</v>
      </c>
      <c r="I9" s="20" t="s">
        <v>115</v>
      </c>
    </row>
    <row r="10" customFormat="false" ht="15" hidden="false" customHeight="true" outlineLevel="0" collapsed="false">
      <c r="B10" s="6" t="s">
        <v>116</v>
      </c>
      <c r="C10" s="15" t="n">
        <v>380000</v>
      </c>
      <c r="D10" s="16" t="s">
        <v>117</v>
      </c>
      <c r="E10" s="17" t="n">
        <f aca="false">IF($C$27="",参数!$E$5,$C$27)</f>
        <v>1.2143</v>
      </c>
      <c r="F10" s="18" t="n">
        <f aca="false">C10*E10/1000</f>
        <v>461.434</v>
      </c>
      <c r="G10" s="19" t="n">
        <f aca="false">参数!$M$4</f>
        <v>0.0021650151996</v>
      </c>
      <c r="H10" s="18" t="n">
        <f aca="false">C10*G10</f>
        <v>822.705775848</v>
      </c>
    </row>
    <row r="11" customFormat="false" ht="15" hidden="false" customHeight="true" outlineLevel="0" collapsed="false">
      <c r="B11" s="6" t="s">
        <v>118</v>
      </c>
      <c r="C11" s="14" t="n">
        <v>45</v>
      </c>
      <c r="D11" s="16" t="s">
        <v>119</v>
      </c>
      <c r="E11" s="17" t="n">
        <f aca="false">参数!$E$6</f>
        <v>1.4571</v>
      </c>
      <c r="F11" s="18" t="n">
        <f aca="false">C11*E11</f>
        <v>65.5695</v>
      </c>
      <c r="G11" s="19" t="n">
        <f aca="false">参数!$M$5</f>
        <v>3.09590963733333</v>
      </c>
      <c r="H11" s="18" t="n">
        <f aca="false">C11*G11</f>
        <v>139.31593368</v>
      </c>
      <c r="I11" s="11" t="s">
        <v>120</v>
      </c>
    </row>
    <row r="12" customFormat="false" ht="15" hidden="false" customHeight="true" outlineLevel="0" collapsed="false">
      <c r="B12" s="6" t="s">
        <v>121</v>
      </c>
      <c r="C12" s="14" t="n">
        <v>12</v>
      </c>
      <c r="D12" s="16" t="s">
        <v>119</v>
      </c>
      <c r="E12" s="17" t="n">
        <f aca="false">参数!$E$7</f>
        <v>1.4714</v>
      </c>
      <c r="F12" s="18" t="n">
        <f aca="false">C12*E12</f>
        <v>17.6568</v>
      </c>
      <c r="G12" s="19" t="n">
        <f aca="false">参数!$M$6</f>
        <v>2.92505598</v>
      </c>
      <c r="H12" s="18" t="n">
        <f aca="false">C12*G12</f>
        <v>35.10067176</v>
      </c>
    </row>
    <row r="13" customFormat="false" ht="15" hidden="false" customHeight="true" outlineLevel="0" collapsed="false">
      <c r="B13" s="6" t="s">
        <v>122</v>
      </c>
      <c r="C13" s="10"/>
      <c r="D13" s="16" t="s">
        <v>119</v>
      </c>
      <c r="E13" s="17" t="n">
        <f aca="false">参数!$E$8</f>
        <v>1.7143</v>
      </c>
      <c r="F13" s="18" t="n">
        <f aca="false">C13*E13</f>
        <v>0</v>
      </c>
      <c r="G13" s="19" t="n">
        <f aca="false">参数!$M$7</f>
        <v>3.10132982133333</v>
      </c>
      <c r="H13" s="18" t="n">
        <f aca="false">C13*G13</f>
        <v>0</v>
      </c>
    </row>
    <row r="14" customFormat="false" ht="15" hidden="false" customHeight="true" outlineLevel="0" collapsed="false">
      <c r="B14" s="6" t="s">
        <v>123</v>
      </c>
      <c r="C14" s="10"/>
      <c r="D14" s="16" t="s">
        <v>119</v>
      </c>
      <c r="E14" s="17" t="n">
        <f aca="false">参数!$E$9</f>
        <v>1.4286</v>
      </c>
      <c r="F14" s="18" t="n">
        <f aca="false">C14*E14</f>
        <v>0</v>
      </c>
      <c r="G14" s="19" t="n">
        <f aca="false">参数!$M$8</f>
        <v>3.17046124266667</v>
      </c>
      <c r="H14" s="18" t="n">
        <f aca="false">C14*G14</f>
        <v>0</v>
      </c>
    </row>
    <row r="15" customFormat="false" ht="15" hidden="false" customHeight="true" outlineLevel="0" collapsed="false">
      <c r="B15" s="6" t="s">
        <v>124</v>
      </c>
      <c r="C15" s="10"/>
      <c r="D15" s="16" t="s">
        <v>119</v>
      </c>
      <c r="E15" s="17" t="n">
        <f aca="false">参数!$E$10</f>
        <v>0.7143</v>
      </c>
      <c r="F15" s="18" t="n">
        <f aca="false">C15*E15</f>
        <v>0</v>
      </c>
      <c r="G15" s="19" t="n">
        <f aca="false">参数!$M$9</f>
        <v>1.9002988488</v>
      </c>
      <c r="H15" s="18" t="n">
        <f aca="false">C15*G15</f>
        <v>0</v>
      </c>
    </row>
    <row r="16" customFormat="false" ht="15" hidden="false" customHeight="true" outlineLevel="0" collapsed="false">
      <c r="B16" s="6" t="s">
        <v>125</v>
      </c>
      <c r="C16" s="10"/>
      <c r="D16" s="16" t="s">
        <v>119</v>
      </c>
      <c r="E16" s="17" t="n">
        <f aca="false">参数!$E$11</f>
        <v>0.9714</v>
      </c>
      <c r="F16" s="18" t="n">
        <f aca="false">C16*E16</f>
        <v>0</v>
      </c>
      <c r="G16" s="19" t="n">
        <f aca="false">参数!$M$10</f>
        <v>2.860418825</v>
      </c>
      <c r="H16" s="18" t="n">
        <f aca="false">C16*G16</f>
        <v>0</v>
      </c>
    </row>
    <row r="17" customFormat="false" ht="15" hidden="false" customHeight="true" outlineLevel="0" collapsed="false">
      <c r="B17" s="6" t="s">
        <v>126</v>
      </c>
      <c r="C17" s="10"/>
      <c r="D17" s="16" t="s">
        <v>127</v>
      </c>
      <c r="E17" s="17" t="n">
        <f aca="false">参数!$E$12</f>
        <v>34.12</v>
      </c>
      <c r="F17" s="18" t="n">
        <f aca="false">C17*E17/1000</f>
        <v>0</v>
      </c>
      <c r="G17" s="19" t="n">
        <f aca="false">参数!$M$11</f>
        <v>0.11</v>
      </c>
      <c r="H17" s="18" t="n">
        <f aca="false">C17*G17</f>
        <v>0</v>
      </c>
    </row>
    <row r="18" customFormat="false" ht="15" hidden="false" customHeight="true" outlineLevel="0" collapsed="false">
      <c r="B18" s="6" t="s">
        <v>128</v>
      </c>
      <c r="C18" s="10"/>
      <c r="D18" s="16" t="s">
        <v>129</v>
      </c>
      <c r="F18" s="18" t="n">
        <f aca="false">C18</f>
        <v>0</v>
      </c>
      <c r="I18" s="11" t="s">
        <v>130</v>
      </c>
    </row>
    <row r="19" customFormat="false" ht="15" hidden="false" customHeight="true" outlineLevel="0" collapsed="false">
      <c r="B19" s="6" t="s">
        <v>131</v>
      </c>
      <c r="C19" s="10"/>
      <c r="D19" s="16" t="s">
        <v>129</v>
      </c>
      <c r="F19" s="18" t="n">
        <f aca="false">C19</f>
        <v>0</v>
      </c>
      <c r="I19" s="11" t="s">
        <v>132</v>
      </c>
    </row>
    <row r="20" customFormat="false" ht="15" hidden="false" customHeight="true" outlineLevel="0" collapsed="false">
      <c r="B20" s="6" t="s">
        <v>133</v>
      </c>
      <c r="C20" s="10"/>
      <c r="D20" s="16" t="s">
        <v>134</v>
      </c>
      <c r="H20" s="18" t="n">
        <f aca="false">C20</f>
        <v>0</v>
      </c>
    </row>
    <row r="21" customFormat="false" ht="15" hidden="false" customHeight="true" outlineLevel="0" collapsed="false">
      <c r="B21" s="6" t="s">
        <v>135</v>
      </c>
      <c r="C21" s="10"/>
      <c r="D21" s="16" t="s">
        <v>129</v>
      </c>
      <c r="F21" s="18" t="n">
        <f aca="false">-C21</f>
        <v>-0</v>
      </c>
      <c r="I21" s="11" t="s">
        <v>136</v>
      </c>
    </row>
    <row r="22" customFormat="false" ht="15" hidden="false" customHeight="true" outlineLevel="0" collapsed="false">
      <c r="B22" s="6" t="s">
        <v>137</v>
      </c>
      <c r="C22" s="10"/>
      <c r="D22" s="16" t="s">
        <v>129</v>
      </c>
      <c r="F22" s="18" t="n">
        <f aca="false">-C22</f>
        <v>-0</v>
      </c>
    </row>
    <row r="24" customFormat="false" ht="15" hidden="false" customHeight="true" outlineLevel="0" collapsed="false">
      <c r="B24" s="4" t="s">
        <v>138</v>
      </c>
      <c r="C24" s="4" t="s">
        <v>28</v>
      </c>
      <c r="D24" s="4" t="s">
        <v>3</v>
      </c>
    </row>
    <row r="25" customFormat="false" ht="90" hidden="false" customHeight="true" outlineLevel="0" collapsed="false">
      <c r="B25" s="6" t="s">
        <v>139</v>
      </c>
      <c r="C25" s="10" t="s">
        <v>140</v>
      </c>
      <c r="D25" s="11" t="s">
        <v>141</v>
      </c>
    </row>
    <row r="26" customFormat="false" ht="39" hidden="false" customHeight="true" outlineLevel="0" collapsed="false">
      <c r="B26" s="6" t="s">
        <v>142</v>
      </c>
      <c r="C26" s="10"/>
      <c r="D26" s="11" t="s">
        <v>143</v>
      </c>
    </row>
    <row r="27" customFormat="false" ht="51.75" hidden="false" customHeight="true" outlineLevel="0" collapsed="false">
      <c r="B27" s="6" t="s">
        <v>144</v>
      </c>
      <c r="C27" s="10"/>
      <c r="D27" s="11" t="s">
        <v>145</v>
      </c>
    </row>
    <row r="28" customFormat="false" ht="15" hidden="false" customHeight="true" outlineLevel="0" collapsed="false">
      <c r="B28" s="4" t="s">
        <v>146</v>
      </c>
      <c r="C28" s="4" t="s">
        <v>147</v>
      </c>
      <c r="D28" s="4" t="s">
        <v>3</v>
      </c>
    </row>
    <row r="29" customFormat="false" ht="39" hidden="false" customHeight="true" outlineLevel="0" collapsed="false">
      <c r="B29" s="6" t="s">
        <v>148</v>
      </c>
      <c r="C29" s="21" t="n">
        <f aca="false">IF(AND(C5&gt;0,C8+C9*1000&gt;C5),C5,C8+C9*1000)</f>
        <v>0</v>
      </c>
      <c r="D29" s="11" t="s">
        <v>149</v>
      </c>
    </row>
    <row r="30" customFormat="false" ht="15" hidden="false" customHeight="true" outlineLevel="0" collapsed="false">
      <c r="B30" s="6" t="s">
        <v>150</v>
      </c>
      <c r="C30" s="22" t="n">
        <f aca="false">IF(SUM(F5:F7,F10:F19)&gt;0,SUM(F5:F7,F10:F19)-C21-C22,"")</f>
        <v>3187.0103</v>
      </c>
    </row>
    <row r="31" customFormat="false" ht="15" hidden="false" customHeight="true" outlineLevel="0" collapsed="false">
      <c r="B31" s="6" t="s">
        <v>151</v>
      </c>
      <c r="C31" s="22" t="n">
        <f aca="false">(C6+C7+C29)*参数!$E$4/1000+C19</f>
        <v>319.54</v>
      </c>
    </row>
    <row r="32" customFormat="false" ht="15" hidden="false" customHeight="true" outlineLevel="0" collapsed="false">
      <c r="B32" s="6" t="s">
        <v>152</v>
      </c>
      <c r="C32" s="23" t="n">
        <f aca="false">IF(C30="","",IF(C30=0,"",C31/C30*100))</f>
        <v>10.0263246717464</v>
      </c>
      <c r="D32" s="11" t="s">
        <v>153</v>
      </c>
    </row>
    <row r="33" customFormat="false" ht="26.25" hidden="false" customHeight="true" outlineLevel="0" collapsed="false">
      <c r="B33" s="6" t="s">
        <v>154</v>
      </c>
      <c r="C33" s="24" t="n">
        <f aca="false">IF(C26&lt;&gt;"",C26,IF(C25="市场法",参数!$B$36,IFERROR(VLOOKUP(SUBSTITUTE(SUBSTITUTE(SUBSTITUTE(SUBSTITUTE(SUBSTITUTE(SUBSTITUTE(1基本信息!$C$7,"省",""),"市",""),"自治区",""),"壮族",""),"回族",""),"维吾尔",""),参数!$A$4:$B$33,2,FALSE()),参数!$B$35)))</f>
        <v>0.5827</v>
      </c>
      <c r="D33" s="20" t="s">
        <v>155</v>
      </c>
    </row>
    <row r="34" customFormat="false" ht="26.25" hidden="false" customHeight="true" outlineLevel="0" collapsed="false">
      <c r="B34" s="6" t="s">
        <v>156</v>
      </c>
      <c r="C34" s="22" t="n">
        <f aca="false">IF(C30="","",H5+SUM(H10:H17)+C20)</f>
        <v>12010.152381288</v>
      </c>
      <c r="D34" s="11" t="s">
        <v>157</v>
      </c>
    </row>
  </sheetData>
  <dataValidations count="1">
    <dataValidation allowBlank="true" error="请从下拉列表选择" errorStyle="stop" errorTitle="输入无效" operator="between" showDropDown="false" showErrorMessage="false" showInputMessage="false" sqref="C25" type="list">
      <formula1>"地区平均因子,市场法"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48"/>
  </cols>
  <sheetData>
    <row r="2" customFormat="false" ht="21" hidden="false" customHeight="true" outlineLevel="0" collapsed="false">
      <c r="B2" s="9" t="s">
        <v>158</v>
      </c>
    </row>
    <row r="3" customFormat="false" ht="15" hidden="false" customHeight="true" outlineLevel="0" collapsed="false">
      <c r="B3" s="3" t="s">
        <v>159</v>
      </c>
    </row>
    <row r="4" customFormat="false" ht="15" hidden="false" customHeight="true" outlineLevel="0" collapsed="false">
      <c r="B4" s="4" t="s">
        <v>27</v>
      </c>
      <c r="C4" s="4" t="s">
        <v>98</v>
      </c>
      <c r="D4" s="4" t="s">
        <v>99</v>
      </c>
      <c r="E4" s="4" t="s">
        <v>3</v>
      </c>
    </row>
    <row r="5" customFormat="false" ht="15" hidden="false" customHeight="true" outlineLevel="0" collapsed="false">
      <c r="B5" s="6" t="s">
        <v>160</v>
      </c>
      <c r="C5" s="15" t="n">
        <v>62000</v>
      </c>
      <c r="D5" s="25" t="s">
        <v>161</v>
      </c>
      <c r="E5" s="11" t="s">
        <v>162</v>
      </c>
    </row>
    <row r="6" customFormat="false" ht="15" hidden="false" customHeight="true" outlineLevel="0" collapsed="false">
      <c r="B6" s="6" t="s">
        <v>163</v>
      </c>
      <c r="C6" s="14" t="n">
        <v>48000</v>
      </c>
      <c r="D6" s="25" t="s">
        <v>164</v>
      </c>
      <c r="E6" s="11" t="s">
        <v>64</v>
      </c>
    </row>
    <row r="7" customFormat="false" ht="15" hidden="false" customHeight="true" outlineLevel="0" collapsed="false">
      <c r="B7" s="6" t="s">
        <v>165</v>
      </c>
      <c r="C7" s="15" t="n">
        <v>171000</v>
      </c>
      <c r="D7" s="25" t="s">
        <v>161</v>
      </c>
      <c r="E7" s="11" t="s">
        <v>166</v>
      </c>
    </row>
    <row r="8" customFormat="false" ht="15" hidden="false" customHeight="true" outlineLevel="0" collapsed="false">
      <c r="B8" s="6" t="s">
        <v>167</v>
      </c>
      <c r="C8" s="14" t="n">
        <v>4000</v>
      </c>
      <c r="D8" s="25" t="s">
        <v>161</v>
      </c>
      <c r="E8" s="11" t="s">
        <v>168</v>
      </c>
    </row>
    <row r="10" customFormat="false" ht="15" hidden="false" customHeight="true" outlineLevel="0" collapsed="false">
      <c r="B10" s="6" t="s">
        <v>169</v>
      </c>
      <c r="C10" s="15" t="n">
        <v>96000</v>
      </c>
      <c r="D10" s="16" t="s">
        <v>117</v>
      </c>
      <c r="E10" s="11" t="s">
        <v>170</v>
      </c>
    </row>
    <row r="11" customFormat="false" ht="15" hidden="false" customHeight="true" outlineLevel="0" collapsed="false">
      <c r="B11" s="6" t="s">
        <v>171</v>
      </c>
      <c r="C11" s="15" t="n">
        <v>1104000</v>
      </c>
      <c r="D11" s="16" t="s">
        <v>117</v>
      </c>
      <c r="E11" s="11" t="s">
        <v>172</v>
      </c>
    </row>
    <row r="13" customFormat="false" ht="15" hidden="false" customHeight="true" outlineLevel="0" collapsed="false">
      <c r="B13" s="6" t="s">
        <v>173</v>
      </c>
      <c r="C13" s="10" t="s">
        <v>174</v>
      </c>
      <c r="D13" s="25"/>
    </row>
    <row r="14" customFormat="false" ht="15" hidden="false" customHeight="true" outlineLevel="0" collapsed="false">
      <c r="B14" s="6" t="s">
        <v>175</v>
      </c>
      <c r="C14" s="14" t="n">
        <v>21800</v>
      </c>
      <c r="D14" s="25"/>
      <c r="E14" s="11" t="s">
        <v>176</v>
      </c>
    </row>
    <row r="15" customFormat="false" ht="15" hidden="false" customHeight="true" outlineLevel="0" collapsed="false">
      <c r="B15" s="6" t="s">
        <v>177</v>
      </c>
      <c r="C15" s="12" t="s">
        <v>119</v>
      </c>
      <c r="D15" s="25"/>
    </row>
    <row r="17" customFormat="false" ht="15" hidden="false" customHeight="true" outlineLevel="0" collapsed="false">
      <c r="B17" s="6" t="s">
        <v>178</v>
      </c>
      <c r="C17" s="14" t="n">
        <v>2350</v>
      </c>
      <c r="D17" s="16" t="s">
        <v>119</v>
      </c>
      <c r="E17" s="11" t="s">
        <v>179</v>
      </c>
    </row>
    <row r="18" customFormat="false" ht="15" hidden="false" customHeight="true" outlineLevel="0" collapsed="false">
      <c r="B18" s="6" t="s">
        <v>180</v>
      </c>
      <c r="C18" s="14" t="n">
        <v>2256</v>
      </c>
      <c r="D18" s="16" t="s">
        <v>119</v>
      </c>
    </row>
    <row r="19" customFormat="false" ht="15" hidden="false" customHeight="true" outlineLevel="0" collapsed="false">
      <c r="B19" s="6" t="s">
        <v>181</v>
      </c>
      <c r="C19" s="14" t="n">
        <v>0</v>
      </c>
      <c r="D19" s="16" t="s">
        <v>119</v>
      </c>
      <c r="E19" s="11" t="s">
        <v>182</v>
      </c>
    </row>
    <row r="21" customFormat="false" ht="15" hidden="false" customHeight="true" outlineLevel="0" collapsed="false">
      <c r="B21" s="6" t="s">
        <v>183</v>
      </c>
      <c r="C21" s="12" t="s">
        <v>184</v>
      </c>
      <c r="D21" s="25"/>
      <c r="E21" s="11" t="s">
        <v>185</v>
      </c>
    </row>
    <row r="22" customFormat="false" ht="15" hidden="false" customHeight="true" outlineLevel="0" collapsed="false">
      <c r="B22" s="6" t="s">
        <v>186</v>
      </c>
      <c r="C22" s="14" t="n">
        <v>6.2</v>
      </c>
      <c r="D22" s="25"/>
      <c r="E22" s="11" t="s">
        <v>187</v>
      </c>
    </row>
    <row r="23" customFormat="false" ht="15" hidden="false" customHeight="true" outlineLevel="0" collapsed="false">
      <c r="B23" s="6" t="s">
        <v>188</v>
      </c>
      <c r="C23" s="12" t="s">
        <v>119</v>
      </c>
      <c r="D23" s="25"/>
    </row>
    <row r="25" customFormat="false" ht="15" hidden="false" customHeight="true" outlineLevel="0" collapsed="false">
      <c r="B25" s="6" t="s">
        <v>189</v>
      </c>
      <c r="C25" s="15" t="n">
        <v>66700</v>
      </c>
      <c r="D25" s="16" t="s">
        <v>190</v>
      </c>
      <c r="E25" s="20" t="s">
        <v>191</v>
      </c>
    </row>
    <row r="26" customFormat="false" ht="15" hidden="false" customHeight="true" outlineLevel="0" collapsed="false">
      <c r="B26" s="6" t="s">
        <v>192</v>
      </c>
      <c r="C26" s="10"/>
      <c r="D26" s="25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22"/>
    <col collapsed="false" customWidth="true" hidden="false" outlineLevel="0" max="7" min="7" style="1" width="2"/>
  </cols>
  <sheetData>
    <row r="2" customFormat="false" ht="21" hidden="false" customHeight="true" outlineLevel="0" collapsed="false">
      <c r="B2" s="9" t="s">
        <v>193</v>
      </c>
    </row>
    <row r="3" customFormat="false" ht="15" hidden="false" customHeight="true" outlineLevel="0" collapsed="false">
      <c r="B3" s="3" t="s">
        <v>194</v>
      </c>
    </row>
    <row r="4" customFormat="false" ht="15" hidden="false" customHeight="true" outlineLevel="0" collapsed="false">
      <c r="B4" s="4" t="s">
        <v>27</v>
      </c>
      <c r="C4" s="4" t="s">
        <v>195</v>
      </c>
      <c r="D4" s="4" t="s">
        <v>3</v>
      </c>
      <c r="E4" s="4" t="s">
        <v>196</v>
      </c>
    </row>
    <row r="5" customFormat="false" ht="15" hidden="false" customHeight="true" outlineLevel="0" collapsed="false">
      <c r="B5" s="6" t="s">
        <v>197</v>
      </c>
      <c r="C5" s="10" t="s">
        <v>40</v>
      </c>
      <c r="D5" s="3" t="s">
        <v>198</v>
      </c>
      <c r="E5" s="26" t="n">
        <f aca="false">IF(C5="是",MIN(COUNTIF(C7:C18,"是"),12),IF(C5="否",0,""))</f>
        <v>6</v>
      </c>
    </row>
    <row r="7" customFormat="false" ht="15" hidden="false" customHeight="true" outlineLevel="0" collapsed="false">
      <c r="B7" s="6" t="s">
        <v>199</v>
      </c>
      <c r="C7" s="10" t="s">
        <v>40</v>
      </c>
    </row>
    <row r="8" customFormat="false" ht="15" hidden="false" customHeight="true" outlineLevel="0" collapsed="false">
      <c r="B8" s="6" t="s">
        <v>200</v>
      </c>
      <c r="C8" s="10" t="s">
        <v>40</v>
      </c>
    </row>
    <row r="9" customFormat="false" ht="15" hidden="false" customHeight="true" outlineLevel="0" collapsed="false">
      <c r="B9" s="6" t="s">
        <v>201</v>
      </c>
      <c r="C9" s="10" t="s">
        <v>40</v>
      </c>
    </row>
    <row r="10" customFormat="false" ht="15" hidden="false" customHeight="true" outlineLevel="0" collapsed="false">
      <c r="B10" s="6" t="s">
        <v>202</v>
      </c>
      <c r="C10" s="10" t="s">
        <v>40</v>
      </c>
    </row>
    <row r="11" customFormat="false" ht="15" hidden="false" customHeight="true" outlineLevel="0" collapsed="false">
      <c r="B11" s="6" t="s">
        <v>203</v>
      </c>
      <c r="C11" s="10" t="s">
        <v>40</v>
      </c>
    </row>
    <row r="12" customFormat="false" ht="15" hidden="false" customHeight="true" outlineLevel="0" collapsed="false">
      <c r="B12" s="6" t="s">
        <v>204</v>
      </c>
      <c r="C12" s="10" t="s">
        <v>43</v>
      </c>
    </row>
    <row r="13" customFormat="false" ht="15" hidden="false" customHeight="true" outlineLevel="0" collapsed="false">
      <c r="B13" s="6" t="s">
        <v>205</v>
      </c>
      <c r="C13" s="10" t="s">
        <v>43</v>
      </c>
    </row>
    <row r="14" customFormat="false" ht="15" hidden="false" customHeight="true" outlineLevel="0" collapsed="false">
      <c r="B14" s="6" t="s">
        <v>206</v>
      </c>
      <c r="C14" s="10" t="s">
        <v>40</v>
      </c>
    </row>
    <row r="15" customFormat="false" ht="15" hidden="false" customHeight="true" outlineLevel="0" collapsed="false">
      <c r="B15" s="6" t="s">
        <v>207</v>
      </c>
      <c r="C15" s="10" t="s">
        <v>43</v>
      </c>
    </row>
    <row r="16" customFormat="false" ht="15" hidden="false" customHeight="true" outlineLevel="0" collapsed="false">
      <c r="B16" s="6" t="s">
        <v>208</v>
      </c>
      <c r="C16" s="10" t="s">
        <v>43</v>
      </c>
    </row>
    <row r="17" customFormat="false" ht="15" hidden="false" customHeight="true" outlineLevel="0" collapsed="false">
      <c r="B17" s="6" t="s">
        <v>209</v>
      </c>
      <c r="C17" s="10" t="s">
        <v>43</v>
      </c>
    </row>
    <row r="18" customFormat="false" ht="15" hidden="false" customHeight="true" outlineLevel="0" collapsed="false">
      <c r="B18" s="6" t="s">
        <v>210</v>
      </c>
      <c r="C18" s="10" t="s">
        <v>43</v>
      </c>
    </row>
    <row r="19" customFormat="false" ht="15" hidden="false" customHeight="true" outlineLevel="0" collapsed="false">
      <c r="B19" s="4" t="s">
        <v>211</v>
      </c>
      <c r="C19" s="27" t="s">
        <v>212</v>
      </c>
      <c r="D19" s="27" t="s">
        <v>213</v>
      </c>
      <c r="E19" s="27" t="s">
        <v>214</v>
      </c>
      <c r="F19" s="27" t="s">
        <v>215</v>
      </c>
    </row>
    <row r="20" customFormat="false" ht="57.75" hidden="false" customHeight="true" outlineLevel="0" collapsed="false">
      <c r="B20" s="6" t="s">
        <v>216</v>
      </c>
      <c r="C20" s="12" t="s">
        <v>217</v>
      </c>
      <c r="D20" s="28" t="s">
        <v>218</v>
      </c>
      <c r="E20" s="28" t="s">
        <v>219</v>
      </c>
      <c r="F20" s="28" t="s">
        <v>220</v>
      </c>
    </row>
    <row r="21" customFormat="false" ht="57.75" hidden="false" customHeight="true" outlineLevel="0" collapsed="false">
      <c r="B21" s="6" t="s">
        <v>221</v>
      </c>
      <c r="C21" s="12" t="s">
        <v>222</v>
      </c>
      <c r="D21" s="28" t="s">
        <v>223</v>
      </c>
      <c r="E21" s="28" t="s">
        <v>224</v>
      </c>
      <c r="F21" s="28" t="s">
        <v>225</v>
      </c>
    </row>
    <row r="22" customFormat="false" ht="57.75" hidden="false" customHeight="true" outlineLevel="0" collapsed="false">
      <c r="B22" s="6" t="s">
        <v>226</v>
      </c>
      <c r="C22" s="12" t="s">
        <v>227</v>
      </c>
      <c r="D22" s="28" t="s">
        <v>228</v>
      </c>
      <c r="E22" s="28" t="s">
        <v>229</v>
      </c>
      <c r="F22" s="28" t="s">
        <v>225</v>
      </c>
    </row>
    <row r="23" customFormat="false" ht="15" hidden="false" customHeight="true" outlineLevel="0" collapsed="false">
      <c r="B23" s="3" t="s">
        <v>230</v>
      </c>
    </row>
  </sheetData>
  <dataValidations count="2">
    <dataValidation allowBlank="true" error="请从下拉列表选择" errorStyle="stop" errorTitle="输入无效" operator="between" showDropDown="false" showErrorMessage="false" showInputMessage="false" sqref="C5 C7:C18" type="list">
      <formula1>"是,否"</formula1>
      <formula2>0</formula2>
    </dataValidation>
    <dataValidation allowBlank="true" error="请从下拉列表选择" errorStyle="stop" errorTitle="输入无效" operator="between" showDropDown="false" showErrorMessage="false" showInputMessage="false" sqref="C20:C22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4" min="3" style="1" width="12"/>
    <col collapsed="false" customWidth="true" hidden="false" outlineLevel="0" max="6" min="5" style="1" width="40"/>
  </cols>
  <sheetData>
    <row r="2" customFormat="false" ht="21" hidden="false" customHeight="true" outlineLevel="0" collapsed="false">
      <c r="B2" s="9" t="s">
        <v>231</v>
      </c>
    </row>
    <row r="3" customFormat="false" ht="15" hidden="false" customHeight="true" outlineLevel="0" collapsed="false">
      <c r="B3" s="3" t="s">
        <v>232</v>
      </c>
    </row>
    <row r="4" customFormat="false" ht="15" hidden="false" customHeight="true" outlineLevel="0" collapsed="false">
      <c r="B4" s="4" t="s">
        <v>233</v>
      </c>
      <c r="C4" s="4" t="s">
        <v>234</v>
      </c>
      <c r="D4" s="4" t="s">
        <v>235</v>
      </c>
      <c r="E4" s="4" t="s">
        <v>236</v>
      </c>
      <c r="F4" s="4" t="s">
        <v>237</v>
      </c>
    </row>
    <row r="5" customFormat="false" ht="15" hidden="false" customHeight="true" outlineLevel="0" collapsed="false">
      <c r="B5" s="6" t="s">
        <v>238</v>
      </c>
      <c r="C5" s="14" t="n">
        <v>0.045</v>
      </c>
      <c r="D5" s="14" t="n">
        <v>0.07</v>
      </c>
      <c r="E5" s="10" t="s">
        <v>239</v>
      </c>
      <c r="F5" s="29" t="s">
        <v>240</v>
      </c>
    </row>
    <row r="6" customFormat="false" ht="15" hidden="false" customHeight="true" outlineLevel="0" collapsed="false">
      <c r="B6" s="6" t="s">
        <v>241</v>
      </c>
      <c r="C6" s="14" t="n">
        <v>0.16</v>
      </c>
      <c r="D6" s="14" t="n">
        <v>0.3</v>
      </c>
      <c r="E6" s="10" t="s">
        <v>239</v>
      </c>
      <c r="F6" s="29" t="s">
        <v>242</v>
      </c>
    </row>
    <row r="7" customFormat="false" ht="15" hidden="false" customHeight="true" outlineLevel="0" collapsed="false">
      <c r="B7" s="6" t="s">
        <v>243</v>
      </c>
      <c r="C7" s="14" t="n">
        <v>12</v>
      </c>
      <c r="D7" s="14" t="n">
        <v>2</v>
      </c>
      <c r="E7" s="10" t="s">
        <v>239</v>
      </c>
      <c r="F7" s="29" t="s">
        <v>244</v>
      </c>
    </row>
    <row r="8" customFormat="false" ht="15" hidden="false" customHeight="true" outlineLevel="0" collapsed="false">
      <c r="B8" s="6" t="s">
        <v>245</v>
      </c>
      <c r="C8" s="10"/>
      <c r="D8" s="10"/>
      <c r="E8" s="10"/>
      <c r="F8" s="28" t="s">
        <v>246</v>
      </c>
    </row>
    <row r="9" customFormat="false" ht="15" hidden="false" customHeight="true" outlineLevel="0" collapsed="false">
      <c r="B9" s="6" t="s">
        <v>247</v>
      </c>
      <c r="C9" s="14" t="n">
        <v>1.2</v>
      </c>
      <c r="D9" s="14" t="n">
        <v>3</v>
      </c>
      <c r="E9" s="10" t="s">
        <v>239</v>
      </c>
      <c r="F9" s="29" t="s">
        <v>248</v>
      </c>
    </row>
    <row r="10" customFormat="false" ht="15" hidden="false" customHeight="true" outlineLevel="0" collapsed="false">
      <c r="B10" s="6" t="s">
        <v>249</v>
      </c>
      <c r="C10" s="14" t="n">
        <v>90</v>
      </c>
      <c r="D10" s="14" t="n">
        <v>70</v>
      </c>
      <c r="E10" s="10" t="s">
        <v>239</v>
      </c>
      <c r="F10" s="29" t="s">
        <v>244</v>
      </c>
    </row>
    <row r="11" customFormat="false" ht="15" hidden="false" customHeight="true" outlineLevel="0" collapsed="false">
      <c r="B11" s="6" t="s">
        <v>250</v>
      </c>
      <c r="C11" s="14" t="n">
        <v>95</v>
      </c>
      <c r="D11" s="14" t="n">
        <v>80</v>
      </c>
      <c r="E11" s="10" t="s">
        <v>239</v>
      </c>
      <c r="F11" s="29" t="s">
        <v>244</v>
      </c>
    </row>
    <row r="12" customFormat="false" ht="15" hidden="false" customHeight="true" outlineLevel="0" collapsed="false">
      <c r="B12" s="6" t="s">
        <v>251</v>
      </c>
      <c r="C12" s="14" t="n">
        <v>2.5</v>
      </c>
      <c r="D12" s="14" t="n">
        <v>0.5</v>
      </c>
      <c r="E12" s="10" t="s">
        <v>239</v>
      </c>
      <c r="F12" s="29" t="s">
        <v>252</v>
      </c>
    </row>
    <row r="13" customFormat="false" ht="15" hidden="false" customHeight="true" outlineLevel="0" collapsed="false">
      <c r="B13" s="6" t="s">
        <v>253</v>
      </c>
      <c r="C13" s="10"/>
      <c r="D13" s="10"/>
      <c r="E13" s="10"/>
      <c r="F13" s="28" t="s">
        <v>254</v>
      </c>
    </row>
    <row r="14" customFormat="false" ht="15" hidden="false" customHeight="true" outlineLevel="0" collapsed="false">
      <c r="B14" s="6" t="s">
        <v>255</v>
      </c>
      <c r="C14" s="14" t="n">
        <v>1</v>
      </c>
      <c r="D14" s="14" t="n">
        <v>0.5</v>
      </c>
      <c r="E14" s="10" t="s">
        <v>239</v>
      </c>
      <c r="F14" s="28" t="s">
        <v>256</v>
      </c>
    </row>
    <row r="16" customFormat="false" ht="15" hidden="false" customHeight="true" outlineLevel="0" collapsed="false">
      <c r="B16" s="3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5" min="4" style="1" width="7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9" min="8" style="1" width="10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4" min="12" style="1" width="2"/>
    <col collapsed="false" customWidth="true" hidden="false" outlineLevel="0" max="15" min="15" style="1" width="10"/>
    <col collapsed="false" customWidth="true" hidden="false" outlineLevel="0" max="16" min="16" style="1" width="9"/>
  </cols>
  <sheetData>
    <row r="2" customFormat="false" ht="21" hidden="false" customHeight="true" outlineLevel="0" collapsed="false">
      <c r="B2" s="9" t="s">
        <v>258</v>
      </c>
    </row>
    <row r="3" customFormat="false" ht="15" hidden="false" customHeight="true" outlineLevel="0" collapsed="false">
      <c r="B3" s="3" t="s">
        <v>259</v>
      </c>
      <c r="F3" s="4" t="s">
        <v>260</v>
      </c>
      <c r="G3" s="4" t="s">
        <v>261</v>
      </c>
      <c r="H3" s="4" t="s">
        <v>262</v>
      </c>
      <c r="I3" s="4" t="s">
        <v>263</v>
      </c>
      <c r="P3" s="3" t="s">
        <v>264</v>
      </c>
    </row>
    <row r="4" customFormat="false" ht="15" hidden="false" customHeight="true" outlineLevel="0" collapsed="false">
      <c r="B4" s="6" t="s">
        <v>265</v>
      </c>
      <c r="C4" s="30" t="n">
        <f aca="false">SUM(J13:J26)</f>
        <v>63.9481057878191</v>
      </c>
      <c r="F4" s="31" t="s">
        <v>266</v>
      </c>
      <c r="G4" s="32" t="n">
        <f aca="false">SUMIF($B$13:$B$26,F4,$E$13:$E$26)</f>
        <v>30</v>
      </c>
      <c r="H4" s="33" t="n">
        <f aca="false">SUMIF($B$13:$B$26,F4,$J$13:$J$26)</f>
        <v>22.9455665933529</v>
      </c>
      <c r="I4" s="33" t="n">
        <f aca="false">H4+SUMPRODUCT(($B$13:$B$26=F4)*($J$13:$J$26="")*$E$13:$E$26)</f>
        <v>22.9455665933529</v>
      </c>
      <c r="P4" s="34" t="n">
        <f aca="false">IF(1基本信息!$C$17="产量",3资源产出!$C$6,3资源产出!$C$5)</f>
        <v>62000</v>
      </c>
    </row>
    <row r="5" customFormat="false" ht="43.5" hidden="false" customHeight="true" outlineLevel="0" collapsed="false">
      <c r="B5" s="6" t="s">
        <v>267</v>
      </c>
      <c r="C5" s="30" t="n">
        <f aca="false">SUMPRODUCT((J13:J26="")*E13:E26)</f>
        <v>14</v>
      </c>
      <c r="F5" s="31" t="s">
        <v>268</v>
      </c>
      <c r="G5" s="32" t="n">
        <f aca="false">SUMIF($B$13:$B$26,F5,$E$13:$E$26)</f>
        <v>30</v>
      </c>
      <c r="H5" s="33" t="n">
        <f aca="false">SUMIF($B$13:$B$26,F5,$J$13:$J$26)</f>
        <v>20.4516129032258</v>
      </c>
      <c r="I5" s="33" t="n">
        <f aca="false">H5+SUMPRODUCT(($B$13:$B$26=F5)*($J$13:$J$26="")*$E$13:$E$26)</f>
        <v>28.4516129032258</v>
      </c>
      <c r="O5" s="3" t="s">
        <v>269</v>
      </c>
      <c r="P5" s="35" t="b">
        <f aca="false">OR(COUNTIF(1基本信息!$C$21:$C$28,"是")&gt;0,1基本信息!$C$32="否",COUNTIF(1基本信息!$C$33:$C$36,"未建立")&gt;0)</f>
        <v>0</v>
      </c>
    </row>
    <row r="6" customFormat="false" ht="15" hidden="false" customHeight="true" outlineLevel="0" collapsed="false">
      <c r="B6" s="6" t="s">
        <v>263</v>
      </c>
      <c r="C6" s="30" t="n">
        <f aca="false">C4+C5</f>
        <v>77.9481057878191</v>
      </c>
      <c r="F6" s="31" t="s">
        <v>270</v>
      </c>
      <c r="G6" s="32" t="n">
        <f aca="false">SUMIF($B$13:$B$26,F6,$E$13:$E$26)</f>
        <v>16</v>
      </c>
      <c r="H6" s="33" t="n">
        <f aca="false">SUMIF($B$13:$B$26,F6,$J$13:$J$26)</f>
        <v>9.67836257309942</v>
      </c>
      <c r="I6" s="33" t="n">
        <f aca="false">H6+SUMPRODUCT(($B$13:$B$26=F6)*($J$13:$J$26="")*$E$13:$E$26)</f>
        <v>15.6783625730994</v>
      </c>
      <c r="O6" s="3" t="s">
        <v>271</v>
      </c>
      <c r="P6" s="35" t="b">
        <f aca="false">OR(COUNTIF(1基本信息!$C$21:$C$29,"不确定")&gt;0,COUNTBLANK(1基本信息!$C$21:$C$29)&gt;0,AND(1基本信息!$C$32&lt;&gt;"是",1基本信息!$C$32&lt;&gt;"否"),COUNTBLANK(1基本信息!$C$33:$C$36)&gt;0)</f>
        <v>0</v>
      </c>
    </row>
    <row r="7" customFormat="false" ht="15" hidden="false" customHeight="true" outlineLevel="0" collapsed="false">
      <c r="B7" s="6" t="s">
        <v>272</v>
      </c>
      <c r="C7" s="36" t="str">
        <f aca="false">IF($P$5,"存在否决项",IF($P$7,"门槛存疑（近三年有违法违规记录）",IF($P$6,"有待核实项","通过")))</f>
        <v>通过</v>
      </c>
      <c r="F7" s="31" t="s">
        <v>273</v>
      </c>
      <c r="G7" s="32" t="n">
        <f aca="false">SUMIF($B$13:$B$26,F7,$E$13:$E$26)</f>
        <v>16</v>
      </c>
      <c r="H7" s="33" t="n">
        <f aca="false">SUMIF($B$13:$B$26,F7,$J$13:$J$26)</f>
        <v>4</v>
      </c>
      <c r="I7" s="33" t="n">
        <f aca="false">H7+SUMPRODUCT(($B$13:$B$26=F7)*($J$13:$J$26="")*$E$13:$E$26)</f>
        <v>4</v>
      </c>
      <c r="O7" s="3" t="s">
        <v>274</v>
      </c>
      <c r="P7" s="35" t="b">
        <f aca="false">1基本信息!$C$29="是"</f>
        <v>0</v>
      </c>
    </row>
    <row r="8" customFormat="false" ht="29.25" hidden="false" customHeight="true" outlineLevel="0" collapsed="false">
      <c r="B8" s="6" t="s">
        <v>275</v>
      </c>
      <c r="C8" s="37" t="n">
        <f aca="false">IF($P$10="国家级",IF(1基本信息!$C$41="","",1基本信息!$C$41),IF($P$10="市级",IF(1基本信息!$C$39&lt;&gt;"",1基本信息!$C$39,IF(1基本信息!$C$11="是",参数!$B$40,参数!$B$41)),IF(1基本信息!$C$40&lt;&gt;"",1基本信息!$C$40,IF(1基本信息!$C$11="是",参数!$B$40,参数!$B$41))))</f>
        <v>75</v>
      </c>
      <c r="F8" s="31" t="s">
        <v>276</v>
      </c>
      <c r="G8" s="32" t="n">
        <f aca="false">SUMIF($B$13:$B$26,F8,$E$13:$E$26)</f>
        <v>8</v>
      </c>
      <c r="H8" s="33" t="n">
        <f aca="false">SUMIF($B$13:$B$26,F8,$J$13:$J$26)</f>
        <v>6.87256371814093</v>
      </c>
      <c r="I8" s="33" t="n">
        <f aca="false">H8+SUMPRODUCT(($B$13:$B$26=F8)*($J$13:$J$26="")*$E$13:$E$26)</f>
        <v>6.87256371814093</v>
      </c>
      <c r="O8" s="3" t="s">
        <v>277</v>
      </c>
      <c r="P8" s="1" t="str">
        <f aca="false">IF(C8="","需对比本地区平均水平",IF(C4&gt;=C8-0.000001,"确定分已过线",IF(C5&gt;30,"信息不足",IF(C6&gt;=C8-0.000001,"有希望，待补齐","目前达不到"))))</f>
        <v>有希望，待补齐</v>
      </c>
    </row>
    <row r="9" customFormat="false" ht="18.75" hidden="false" customHeight="true" outlineLevel="0" collapsed="false">
      <c r="B9" s="6" t="s">
        <v>278</v>
      </c>
      <c r="C9" s="38" t="str">
        <f aca="false">IF(AND($P$10="国家级",$P$9="国家级"),"已是国家级，看动态管理",IF($P$5,"不具备申报条件",IF(AND($P$10="国家级",OR(1基本信息!$C$10="否",AND($P$9&lt;&gt;"省级",$P$9&lt;&gt;"国家级"))),"当年不能报（须先列入本地区省级名单，且属C类制造业）",IF($P$7,"门槛存疑，先向当地确认；按分数："&amp;$P$8,$P$8))))</f>
        <v>有希望，待补齐</v>
      </c>
      <c r="D9" s="38"/>
      <c r="O9" s="3" t="s">
        <v>279</v>
      </c>
      <c r="P9" s="1" t="str">
        <f aca="false">IF(AND(1基本信息!$C$13="市级",OR(1基本信息!$C$7="北京",1基本信息!$C$7="上海",1基本信息!$C$7="天津",1基本信息!$C$7="重庆")),"省级",IF(1基本信息!$C$13="","无",1基本信息!$C$13))</f>
        <v>市级</v>
      </c>
    </row>
    <row r="10" customFormat="false" ht="15" hidden="false" customHeight="true" outlineLevel="0" collapsed="false">
      <c r="B10" s="6" t="s">
        <v>280</v>
      </c>
      <c r="C10" s="30" t="n">
        <f aca="false">IF(C8="","",MAX(0,C8-C4))</f>
        <v>11.0518942121809</v>
      </c>
      <c r="O10" s="3" t="s">
        <v>281</v>
      </c>
      <c r="P10" s="1" t="str">
        <f aca="false">IF(AND(1基本信息!$C$12="市级",OR(1基本信息!$C$7="北京",1基本信息!$C$7="上海",1基本信息!$C$7="天津",1基本信息!$C$7="重庆")),"省级",IF(1基本信息!$C$12="","省级",1基本信息!$C$12))</f>
        <v>省级</v>
      </c>
    </row>
    <row r="11" customFormat="false" ht="29.25" hidden="false" customHeight="true" outlineLevel="0" collapsed="false">
      <c r="B11" s="6" t="s">
        <v>282</v>
      </c>
      <c r="C11" s="6" t="str">
        <f aca="false">IF($P$10="国家级","国家级没有固定分数线，填本地区已有国家绿色工厂平均分作比较",IF(OR(AND($P$10="市级",1基本信息!$C$39=""),AND($P$10&lt;&gt;"市级",1基本信息!$C$40="")),"缺省值（参照安徽2026年口径），以当地通知为准","来自当地通知（用户填写）"))</f>
        <v>缺省值（参照安徽2026年口径），以当地通知为准</v>
      </c>
    </row>
    <row r="12" customFormat="false" ht="15" hidden="false" customHeight="true" outlineLevel="0" collapsed="false">
      <c r="A12" s="4" t="s">
        <v>283</v>
      </c>
      <c r="B12" s="4" t="s">
        <v>260</v>
      </c>
      <c r="C12" s="4" t="s">
        <v>233</v>
      </c>
      <c r="D12" s="4" t="s">
        <v>284</v>
      </c>
      <c r="E12" s="4" t="s">
        <v>261</v>
      </c>
      <c r="F12" s="4" t="s">
        <v>285</v>
      </c>
      <c r="G12" s="4" t="s">
        <v>99</v>
      </c>
      <c r="H12" s="4" t="s">
        <v>234</v>
      </c>
      <c r="I12" s="4" t="s">
        <v>235</v>
      </c>
      <c r="J12" s="4" t="s">
        <v>286</v>
      </c>
      <c r="K12" s="4" t="s">
        <v>287</v>
      </c>
    </row>
    <row r="13" customFormat="false" ht="15" hidden="false" customHeight="true" outlineLevel="0" collapsed="false">
      <c r="A13" s="39" t="n">
        <v>1</v>
      </c>
      <c r="B13" s="6" t="s">
        <v>266</v>
      </c>
      <c r="C13" s="6" t="s">
        <v>288</v>
      </c>
      <c r="D13" s="40" t="s">
        <v>289</v>
      </c>
      <c r="E13" s="40" t="n">
        <v>8</v>
      </c>
      <c r="F13" s="17" t="n">
        <f aca="false">IF(OR(2能源与碳!$C$30="",N($P$4)=0),"",2能源与碳!$C$30/$P$4)</f>
        <v>0.0514033919354839</v>
      </c>
      <c r="G13" s="25" t="str">
        <f aca="false">IF(1基本信息!$C$17="产量","tce/"&amp;1基本信息!$C$18,"tce/万元")</f>
        <v>tce/万元</v>
      </c>
      <c r="H13" s="41" t="n">
        <f aca="false">IF(5对标值!$C$5="","",5对标值!$C$5)</f>
        <v>0.045</v>
      </c>
      <c r="I13" s="41" t="n">
        <f aca="false">IF(5对标值!$D$5="","",5对标值!$D$5)</f>
        <v>0.07</v>
      </c>
      <c r="J13" s="23" t="n">
        <f aca="false">IF(OR(F13="",H13="",I13=""),"",E13*IF(H13=I13,IF(IF(D13="逆向",F13&lt;=H13,F13&gt;=H13),1,0),MAX(0,MIN(1,IF(D13="逆向",(MAX(H13,I13)-F13)/(MAX(H13,I13)-MIN(H13,I13)),(F13-MIN(H13,I13))/(MAX(H13,I13)-MIN(H13,I13)))))))</f>
        <v>5.95091458064516</v>
      </c>
      <c r="K13" s="40" t="str">
        <f aca="false">IF(J13="",IF(F13="","缺数据","缺对标值"),IF(J13&gt;=E13*0.9999,"满分",IF(J13&lt;=E13*0.0001,"零分","部分得分")))</f>
        <v>部分得分</v>
      </c>
    </row>
    <row r="14" customFormat="false" ht="15" hidden="false" customHeight="true" outlineLevel="0" collapsed="false">
      <c r="A14" s="40" t="n">
        <v>2</v>
      </c>
      <c r="B14" s="6" t="s">
        <v>266</v>
      </c>
      <c r="C14" s="6" t="s">
        <v>290</v>
      </c>
      <c r="D14" s="40" t="s">
        <v>289</v>
      </c>
      <c r="E14" s="40" t="n">
        <v>8</v>
      </c>
      <c r="F14" s="17" t="n">
        <f aca="false">IF(OR(2能源与碳!$C$34="",N($P$4)=0),"",2能源与碳!$C$34/$P$4)</f>
        <v>0.193712135182065</v>
      </c>
      <c r="G14" s="25" t="str">
        <f aca="false">IF(1基本信息!$C$17="产量","tCO2/"&amp;1基本信息!$C$18,"tCO2/万元")</f>
        <v>tCO2/万元</v>
      </c>
      <c r="H14" s="41" t="n">
        <f aca="false">IF(5对标值!$C$6="","",5对标值!$C$6)</f>
        <v>0.16</v>
      </c>
      <c r="I14" s="41" t="n">
        <f aca="false">IF(5对标值!$D$6="","",5对标值!$D$6)</f>
        <v>0.3</v>
      </c>
      <c r="J14" s="23" t="n">
        <f aca="false">IF(OR(F14="",H14="",I14=""),"",E14*IF(H14=I14,IF(IF(D14="逆向",F14&lt;=H14,F14&gt;=H14),1,0),MAX(0,MIN(1,IF(D14="逆向",(MAX(H14,I14)-F14)/(MAX(H14,I14)-MIN(H14,I14)),(F14-MIN(H14,I14))/(MAX(H14,I14)-MIN(H14,I14)))))))</f>
        <v>6.0735922753106</v>
      </c>
      <c r="K14" s="40" t="str">
        <f aca="false">IF(J14="",IF(F14="","缺数据","缺对标值"),IF(J14&gt;=E14*0.9999,"满分",IF(J14&lt;=E14*0.0001,"零分","部分得分")))</f>
        <v>部分得分</v>
      </c>
    </row>
    <row r="15" customFormat="false" ht="15" hidden="false" customHeight="true" outlineLevel="0" collapsed="false">
      <c r="A15" s="40" t="n">
        <v>3</v>
      </c>
      <c r="B15" s="6" t="s">
        <v>266</v>
      </c>
      <c r="C15" s="6" t="s">
        <v>291</v>
      </c>
      <c r="D15" s="40" t="s">
        <v>292</v>
      </c>
      <c r="E15" s="40" t="n">
        <v>8</v>
      </c>
      <c r="F15" s="33" t="n">
        <f aca="false">2能源与碳!$C$32</f>
        <v>10.0263246717464</v>
      </c>
      <c r="G15" s="16" t="s">
        <v>244</v>
      </c>
      <c r="H15" s="41" t="n">
        <f aca="true">IF(5对标值!$C$7="","",IF(LEFT(CELL("format",5对标值!$C$7),1)="P",5对标值!$C$7*100,5对标值!$C$7))</f>
        <v>12</v>
      </c>
      <c r="I15" s="41" t="n">
        <f aca="true">IF(5对标值!$D$7="","",IF(LEFT(CELL("format",5对标值!$D$7),1)="P",5对标值!$D$7*100,5对标值!$D$7))</f>
        <v>2</v>
      </c>
      <c r="J15" s="23" t="n">
        <f aca="false">IF(OR(F15="",H15="",I15=""),"",E15*IF(H15=I15,IF(IF(D15="逆向",F15&lt;=H15,F15&gt;=H15),1,0),MAX(0,MIN(1,IF(D15="逆向",(MAX(H15,I15)-F15)/(MAX(H15,I15)-MIN(H15,I15)),(F15-MIN(H15,I15))/(MAX(H15,I15)-MIN(H15,I15)))))))</f>
        <v>6.42105973739715</v>
      </c>
      <c r="K15" s="40" t="str">
        <f aca="false">IF(J15="",IF(F15="","缺数据","缺对标值"),IF(J15&gt;=E15*0.9999,"满分",IF(J15&lt;=E15*0.0001,"零分","部分得分")))</f>
        <v>部分得分</v>
      </c>
    </row>
    <row r="16" customFormat="false" ht="15" hidden="false" customHeight="true" outlineLevel="0" collapsed="false">
      <c r="A16" s="40" t="n">
        <v>4</v>
      </c>
      <c r="B16" s="6" t="s">
        <v>266</v>
      </c>
      <c r="C16" s="6" t="s">
        <v>293</v>
      </c>
      <c r="D16" s="40" t="s">
        <v>292</v>
      </c>
      <c r="E16" s="40" t="n">
        <v>6</v>
      </c>
      <c r="F16" s="17" t="n">
        <f aca="false">4定性与系统!$E$5</f>
        <v>6</v>
      </c>
      <c r="G16" s="25" t="s">
        <v>294</v>
      </c>
      <c r="H16" s="32" t="n">
        <v>8</v>
      </c>
      <c r="I16" s="32" t="n">
        <v>0</v>
      </c>
      <c r="J16" s="23" t="n">
        <f aca="false">IF(OR(F16="",H16="",I16=""),"",E16*IF(H16=I16,IF(IF(D16="逆向",F16&lt;=H16,F16&gt;=H16),1,0),MAX(0,MIN(1,IF(D16="逆向",(MAX(H16,I16)-F16)/(MAX(H16,I16)-MIN(H16,I16)),(F16-MIN(H16,I16))/(MAX(H16,I16)-MIN(H16,I16)))))))</f>
        <v>4.5</v>
      </c>
      <c r="K16" s="40" t="str">
        <f aca="false">IF(J16="",IF(F16="","缺数据","缺对标值"),IF(J16&gt;=E16*0.9999,"满分",IF(J16&lt;=E16*0.0001,"零分","部分得分")))</f>
        <v>部分得分</v>
      </c>
    </row>
    <row r="17" customFormat="false" ht="15" hidden="false" customHeight="true" outlineLevel="0" collapsed="false">
      <c r="A17" s="40" t="n">
        <v>5</v>
      </c>
      <c r="B17" s="6" t="s">
        <v>268</v>
      </c>
      <c r="C17" s="6" t="s">
        <v>295</v>
      </c>
      <c r="D17" s="40" t="s">
        <v>289</v>
      </c>
      <c r="E17" s="40" t="n">
        <v>8</v>
      </c>
      <c r="F17" s="17" t="n">
        <f aca="false">IF(OR(3资源产出!$C$14="",N($P$4)=0),"",3资源产出!$C$14/$P$4)</f>
        <v>0.351612903225806</v>
      </c>
      <c r="G17" s="25" t="str">
        <f aca="false">IF(1基本信息!$C$17="产量",3资源产出!$C$15&amp;"/"&amp;1基本信息!$C$18,3资源产出!$C$15&amp;"/万元")</f>
        <v>t/万元</v>
      </c>
      <c r="H17" s="41" t="str">
        <f aca="false">IF(5对标值!$C$8="","",5对标值!$C$8)</f>
        <v/>
      </c>
      <c r="I17" s="41" t="str">
        <f aca="false">IF(5对标值!$D$8="","",5对标值!$D$8)</f>
        <v/>
      </c>
      <c r="J17" s="23" t="str">
        <f aca="false">IF(OR(F17="",H17="",I17=""),"",E17*IF(H17=I17,IF(IF(D17="逆向",F17&lt;=H17,F17&gt;=H17),1,0),MAX(0,MIN(1,IF(D17="逆向",(MAX(H17,I17)-F17)/(MAX(H17,I17)-MIN(H17,I17)),(F17-MIN(H17,I17))/(MAX(H17,I17)-MIN(H17,I17)))))))</f>
        <v/>
      </c>
      <c r="K17" s="40" t="str">
        <f aca="false">IF(J17="",IF(F17="","缺数据","缺对标值"),IF(J17&gt;=E17*0.9999,"满分",IF(J17&lt;=E17*0.0001,"零分","部分得分")))</f>
        <v>缺对标值</v>
      </c>
    </row>
    <row r="18" customFormat="false" ht="15" hidden="false" customHeight="true" outlineLevel="0" collapsed="false">
      <c r="A18" s="40" t="n">
        <v>6</v>
      </c>
      <c r="B18" s="6" t="s">
        <v>268</v>
      </c>
      <c r="C18" s="6" t="s">
        <v>296</v>
      </c>
      <c r="D18" s="40" t="s">
        <v>289</v>
      </c>
      <c r="E18" s="40" t="n">
        <v>8</v>
      </c>
      <c r="F18" s="17" t="n">
        <f aca="false">IF(OR(3资源产出!$C$10="",N($P$4)=0),"",3资源产出!$C$10/$P$4)</f>
        <v>1.54838709677419</v>
      </c>
      <c r="G18" s="25" t="str">
        <f aca="false">IF(1基本信息!$C$17="产量","m³/"&amp;1基本信息!$C$18,"m³/万元")</f>
        <v>m³/万元</v>
      </c>
      <c r="H18" s="41" t="n">
        <f aca="false">IF(5对标值!$C$9="","",5对标值!$C$9)</f>
        <v>1.2</v>
      </c>
      <c r="I18" s="41" t="n">
        <f aca="false">IF(5对标值!$D$9="","",5对标值!$D$9)</f>
        <v>3</v>
      </c>
      <c r="J18" s="23" t="n">
        <f aca="false">IF(OR(F18="",H18="",I18=""),"",E18*IF(H18=I18,IF(IF(D18="逆向",F18&lt;=H18,F18&gt;=H18),1,0),MAX(0,MIN(1,IF(D18="逆向",(MAX(H18,I18)-F18)/(MAX(H18,I18)-MIN(H18,I18)),(F18-MIN(H18,I18))/(MAX(H18,I18)-MIN(H18,I18)))))))</f>
        <v>6.45161290322581</v>
      </c>
      <c r="K18" s="40" t="str">
        <f aca="false">IF(J18="",IF(F18="","缺数据","缺对标值"),IF(J18&gt;=E18*0.9999,"满分",IF(J18&lt;=E18*0.0001,"零分","部分得分")))</f>
        <v>部分得分</v>
      </c>
    </row>
    <row r="19" customFormat="false" ht="15" hidden="false" customHeight="true" outlineLevel="0" collapsed="false">
      <c r="A19" s="40" t="n">
        <v>7</v>
      </c>
      <c r="B19" s="6" t="s">
        <v>268</v>
      </c>
      <c r="C19" s="6" t="s">
        <v>297</v>
      </c>
      <c r="D19" s="40" t="s">
        <v>292</v>
      </c>
      <c r="E19" s="40" t="n">
        <v>8</v>
      </c>
      <c r="F19" s="33" t="n">
        <f aca="false">IF(OR(3资源产出!$C$10="",3资源产出!$C$11=""),"",IF(3资源产出!$C$10+3资源产出!$C$11&gt;0,3资源产出!$C$11/(3资源产出!$C$10+3资源产出!$C$11)*100,""))</f>
        <v>92</v>
      </c>
      <c r="G19" s="16" t="s">
        <v>244</v>
      </c>
      <c r="H19" s="41" t="n">
        <f aca="true">IF(5对标值!$C$10="","",IF(LEFT(CELL("format",5对标值!$C$10),1)="P",5对标值!$C$10*100,5对标值!$C$10))</f>
        <v>90</v>
      </c>
      <c r="I19" s="41" t="n">
        <f aca="true">IF(5对标值!$D$10="","",IF(LEFT(CELL("format",5对标值!$D$10),1)="P",5对标值!$D$10*100,5对标值!$D$10))</f>
        <v>70</v>
      </c>
      <c r="J19" s="23" t="n">
        <f aca="false">IF(OR(F19="",H19="",I19=""),"",E19*IF(H19=I19,IF(IF(D19="逆向",F19&lt;=H19,F19&gt;=H19),1,0),MAX(0,MIN(1,IF(D19="逆向",(MAX(H19,I19)-F19)/(MAX(H19,I19)-MIN(H19,I19)),(F19-MIN(H19,I19))/(MAX(H19,I19)-MIN(H19,I19)))))))</f>
        <v>8</v>
      </c>
      <c r="K19" s="40" t="str">
        <f aca="false">IF(J19="",IF(F19="","缺数据","缺对标值"),IF(J19&gt;=E19*0.9999,"满分",IF(J19&lt;=E19*0.0001,"零分","部分得分")))</f>
        <v>满分</v>
      </c>
    </row>
    <row r="20" customFormat="false" ht="15" hidden="false" customHeight="true" outlineLevel="0" collapsed="false">
      <c r="A20" s="40" t="n">
        <v>8</v>
      </c>
      <c r="B20" s="6" t="s">
        <v>268</v>
      </c>
      <c r="C20" s="6" t="s">
        <v>298</v>
      </c>
      <c r="D20" s="40" t="s">
        <v>292</v>
      </c>
      <c r="E20" s="40" t="n">
        <v>6</v>
      </c>
      <c r="F20" s="33" t="n">
        <f aca="false">IF(OR(3资源产出!$C$17="",3资源产出!$C$18=""),"",IF(3资源产出!$C$17+N(3资源产出!$C$19)&gt;0,3资源产出!$C$18/(3资源产出!$C$17+N(3资源产出!$C$19))*100,""))</f>
        <v>96</v>
      </c>
      <c r="G20" s="16" t="s">
        <v>244</v>
      </c>
      <c r="H20" s="41" t="n">
        <f aca="true">IF(5对标值!$C$11="","",IF(LEFT(CELL("format",5对标值!$C$11),1)="P",5对标值!$C$11*100,5对标值!$C$11))</f>
        <v>95</v>
      </c>
      <c r="I20" s="41" t="n">
        <f aca="true">IF(5对标值!$D$11="","",IF(LEFT(CELL("format",5对标值!$D$11),1)="P",5对标值!$D$11*100,5对标值!$D$11))</f>
        <v>80</v>
      </c>
      <c r="J20" s="23" t="n">
        <f aca="false">IF(OR(F20="",H20="",I20=""),"",E20*IF(H20=I20,IF(IF(D20="逆向",F20&lt;=H20,F20&gt;=H20),1,0),MAX(0,MIN(1,IF(D20="逆向",(MAX(H20,I20)-F20)/(MAX(H20,I20)-MIN(H20,I20)),(F20-MIN(H20,I20))/(MAX(H20,I20)-MIN(H20,I20)))))))</f>
        <v>6</v>
      </c>
      <c r="K20" s="40" t="str">
        <f aca="false">IF(J20="",IF(F20="","缺数据","缺对标值"),IF(J20&gt;=E20*0.9999,"满分",IF(J20&lt;=E20*0.0001,"零分","部分得分")))</f>
        <v>满分</v>
      </c>
    </row>
    <row r="21" customFormat="false" ht="15" hidden="false" customHeight="true" outlineLevel="0" collapsed="false">
      <c r="A21" s="40" t="n">
        <v>9</v>
      </c>
      <c r="B21" s="6" t="s">
        <v>270</v>
      </c>
      <c r="C21" s="6" t="s">
        <v>299</v>
      </c>
      <c r="D21" s="40" t="s">
        <v>300</v>
      </c>
      <c r="E21" s="40" t="n">
        <v>6</v>
      </c>
      <c r="F21" s="42" t="str">
        <f aca="false">LEFT(UPPER(TRIM(4定性与系统!$C$20)),1)</f>
        <v>A</v>
      </c>
      <c r="G21" s="25" t="s">
        <v>301</v>
      </c>
      <c r="H21" s="16" t="s">
        <v>302</v>
      </c>
      <c r="I21" s="16" t="s">
        <v>302</v>
      </c>
      <c r="J21" s="23" t="n">
        <f aca="false">IF(F21="A",E21,IF(F21="B",E21*0.5,IF(F21="C",0,"")))</f>
        <v>6</v>
      </c>
      <c r="K21" s="40" t="str">
        <f aca="false">IF(J21="","未说明",IF(F21="A","满分",IF(F21="B","部分得分","零分")))</f>
        <v>满分</v>
      </c>
    </row>
    <row r="22" customFormat="false" ht="15" hidden="false" customHeight="true" outlineLevel="0" collapsed="false">
      <c r="A22" s="40" t="n">
        <v>10</v>
      </c>
      <c r="B22" s="6" t="s">
        <v>270</v>
      </c>
      <c r="C22" s="6" t="s">
        <v>303</v>
      </c>
      <c r="D22" s="40" t="s">
        <v>292</v>
      </c>
      <c r="E22" s="40" t="n">
        <v>4</v>
      </c>
      <c r="F22" s="33" t="n">
        <f aca="false">IF(OR(3资源产出!$C$8="",N(3资源产出!$C$7)=0),"",3资源产出!$C$8/3资源产出!$C$7*100)</f>
        <v>2.33918128654971</v>
      </c>
      <c r="G22" s="16" t="s">
        <v>244</v>
      </c>
      <c r="H22" s="41" t="n">
        <f aca="true">IF(5对标值!$C$12="","",IF(LEFT(CELL("format",5对标值!$C$12),1)="P",5对标值!$C$12*100,5对标值!$C$12))</f>
        <v>2.5</v>
      </c>
      <c r="I22" s="41" t="n">
        <f aca="true">IF(5对标值!$D$12="","",IF(LEFT(CELL("format",5对标值!$D$12),1)="P",5对标值!$D$12*100,5对标值!$D$12))</f>
        <v>0.5</v>
      </c>
      <c r="J22" s="23" t="n">
        <f aca="false">IF(OR(F22="",H22="",I22=""),"",E22*IF(H22=I22,IF(IF(D22="逆向",F22&lt;=H22,F22&gt;=H22),1,0),MAX(0,MIN(1,IF(D22="逆向",(MAX(H22,I22)-F22)/(MAX(H22,I22)-MIN(H22,I22)),(F22-MIN(H22,I22))/(MAX(H22,I22)-MIN(H22,I22)))))))</f>
        <v>3.67836257309942</v>
      </c>
      <c r="K22" s="40" t="str">
        <f aca="false">IF(J22="",IF(F22="","缺数据","缺对标值"),IF(J22&gt;=E22*0.9999,"满分",IF(J22&lt;=E22*0.0001,"零分","部分得分")))</f>
        <v>部分得分</v>
      </c>
    </row>
    <row r="23" customFormat="false" ht="15" hidden="false" customHeight="true" outlineLevel="0" collapsed="false">
      <c r="A23" s="40" t="n">
        <v>11</v>
      </c>
      <c r="B23" s="6" t="s">
        <v>270</v>
      </c>
      <c r="C23" s="6" t="s">
        <v>304</v>
      </c>
      <c r="D23" s="40" t="s">
        <v>289</v>
      </c>
      <c r="E23" s="40" t="n">
        <v>6</v>
      </c>
      <c r="F23" s="17" t="n">
        <f aca="false">IF(OR(3资源产出!$C$22="",N($P$4)=0),"",3资源产出!$C$22/$P$4)</f>
        <v>0.0001</v>
      </c>
      <c r="G23" s="25" t="str">
        <f aca="false">IF(1基本信息!$C$17="产量",3资源产出!$C$23&amp;"/"&amp;1基本信息!$C$18,3资源产出!$C$23&amp;"/万元")</f>
        <v>t/万元</v>
      </c>
      <c r="H23" s="41" t="str">
        <f aca="false">IF(5对标值!$C$13="","",5对标值!$C$13)</f>
        <v/>
      </c>
      <c r="I23" s="41" t="str">
        <f aca="false">IF(5对标值!$D$13="","",5对标值!$D$13)</f>
        <v/>
      </c>
      <c r="J23" s="23" t="str">
        <f aca="false">IF(OR(F23="",H23="",I23=""),"",E23*IF(H23=I23,IF(IF(D23="逆向",F23&lt;=H23,F23&gt;=H23),1,0),MAX(0,MIN(1,IF(D23="逆向",(MAX(H23,I23)-F23)/(MAX(H23,I23)-MIN(H23,I23)),(F23-MIN(H23,I23))/(MAX(H23,I23)-MIN(H23,I23)))))))</f>
        <v/>
      </c>
      <c r="K23" s="40" t="str">
        <f aca="false">IF(J23="",IF(F23="","缺数据","缺对标值"),IF(J23&gt;=E23*0.9999,"满分",IF(J23&lt;=E23*0.0001,"零分","部分得分")))</f>
        <v>缺对标值</v>
      </c>
    </row>
    <row r="24" customFormat="false" ht="15" hidden="false" customHeight="true" outlineLevel="0" collapsed="false">
      <c r="A24" s="40" t="n">
        <v>12</v>
      </c>
      <c r="B24" s="6" t="s">
        <v>273</v>
      </c>
      <c r="C24" s="6" t="s">
        <v>305</v>
      </c>
      <c r="D24" s="40" t="s">
        <v>300</v>
      </c>
      <c r="E24" s="40" t="n">
        <v>8</v>
      </c>
      <c r="F24" s="42" t="str">
        <f aca="false">LEFT(UPPER(TRIM(4定性与系统!$C$21)),1)</f>
        <v>C</v>
      </c>
      <c r="G24" s="25" t="s">
        <v>301</v>
      </c>
      <c r="H24" s="16" t="s">
        <v>302</v>
      </c>
      <c r="I24" s="16" t="s">
        <v>302</v>
      </c>
      <c r="J24" s="23" t="n">
        <f aca="false">IF(F24="A",E24,IF(F24="B",E24*0.5,IF(F24="C",0,"")))</f>
        <v>0</v>
      </c>
      <c r="K24" s="40" t="str">
        <f aca="false">IF(J24="","未说明",IF(F24="A","满分",IF(F24="B","部分得分","零分")))</f>
        <v>零分</v>
      </c>
    </row>
    <row r="25" customFormat="false" ht="15" hidden="false" customHeight="true" outlineLevel="0" collapsed="false">
      <c r="A25" s="40" t="n">
        <v>13</v>
      </c>
      <c r="B25" s="6" t="s">
        <v>273</v>
      </c>
      <c r="C25" s="6" t="s">
        <v>306</v>
      </c>
      <c r="D25" s="40" t="s">
        <v>300</v>
      </c>
      <c r="E25" s="40" t="n">
        <v>8</v>
      </c>
      <c r="F25" s="42" t="str">
        <f aca="false">LEFT(UPPER(TRIM(4定性与系统!$C$22)),1)</f>
        <v>B</v>
      </c>
      <c r="G25" s="25" t="s">
        <v>301</v>
      </c>
      <c r="H25" s="16" t="s">
        <v>302</v>
      </c>
      <c r="I25" s="16" t="s">
        <v>302</v>
      </c>
      <c r="J25" s="23" t="n">
        <f aca="false">IF(F25="A",E25,IF(F25="B",E25*0.5,IF(F25="C",0,"")))</f>
        <v>4</v>
      </c>
      <c r="K25" s="40" t="str">
        <f aca="false">IF(J25="","未说明",IF(F25="A","满分",IF(F25="B","部分得分","零分")))</f>
        <v>部分得分</v>
      </c>
    </row>
    <row r="26" customFormat="false" ht="15" hidden="false" customHeight="true" outlineLevel="0" collapsed="false">
      <c r="A26" s="40" t="n">
        <v>14</v>
      </c>
      <c r="B26" s="6" t="s">
        <v>276</v>
      </c>
      <c r="C26" s="6" t="s">
        <v>307</v>
      </c>
      <c r="D26" s="40" t="s">
        <v>292</v>
      </c>
      <c r="E26" s="40" t="n">
        <v>8</v>
      </c>
      <c r="F26" s="17" t="n">
        <f aca="false">IF(OR(3资源产出!$C$5="",N(3资源产出!$C$25)=0),"",3资源产出!$C$5/3资源产出!$C$25)</f>
        <v>0.929535232383808</v>
      </c>
      <c r="G26" s="25" t="s">
        <v>308</v>
      </c>
      <c r="H26" s="41" t="n">
        <f aca="false">IF(5对标值!$C$14="","",5对标值!$C$14)</f>
        <v>1</v>
      </c>
      <c r="I26" s="41" t="n">
        <f aca="false">IF(5对标值!$D$14="","",5对标值!$D$14)</f>
        <v>0.5</v>
      </c>
      <c r="J26" s="23" t="n">
        <f aca="false">IF(OR(F26="",H26="",I26=""),"",E26*IF(H26=I26,IF(IF(D26="逆向",F26&lt;=H26,F26&gt;=H26),1,0),MAX(0,MIN(1,IF(D26="逆向",(MAX(H26,I26)-F26)/(MAX(H26,I26)-MIN(H26,I26)),(F26-MIN(H26,I26))/(MAX(H26,I26)-MIN(H26,I26)))))))</f>
        <v>6.87256371814093</v>
      </c>
      <c r="K26" s="40" t="str">
        <f aca="false">IF(J26="",IF(F26="","缺数据","缺对标值"),IF(J26&gt;=E26*0.9999,"满分",IF(J26&lt;=E26*0.0001,"零分","部分得分")))</f>
        <v>部分得分</v>
      </c>
    </row>
    <row r="28" customFormat="false" ht="15" hidden="false" customHeight="true" outlineLevel="0" collapsed="false">
      <c r="B28" s="3" t="s">
        <v>309</v>
      </c>
    </row>
  </sheetData>
  <mergeCells count="1">
    <mergeCell ref="C9:D9"/>
  </mergeCells>
  <conditionalFormatting sqref="K13:K26">
    <cfRule type="expression" priority="2" aboveAverage="0" equalAverage="0" bottom="0" percent="0" rank="0" text="" dxfId="0">
      <formula>$K13="满分"</formula>
    </cfRule>
    <cfRule type="expression" priority="3" aboveAverage="0" equalAverage="0" bottom="0" percent="0" rank="0" text="" dxfId="1">
      <formula>$K13="零分"</formula>
    </cfRule>
    <cfRule type="expression" priority="4" aboveAverage="0" equalAverage="0" bottom="0" percent="0" rank="0" text="" dxfId="2">
      <formula>OR($K13="缺数据",$K13="缺对标值",$K13="未说明")</formula>
    </cfRule>
  </conditionalFormatting>
  <conditionalFormatting sqref="C9">
    <cfRule type="expression" priority="5" aboveAverage="0" equalAverage="0" bottom="0" percent="0" rank="0" text="" dxfId="3">
      <formula>$C$9="确定分已过线"</formula>
    </cfRule>
    <cfRule type="expression" priority="6" aboveAverage="0" equalAverage="0" bottom="0" percent="0" rank="0" text="" dxfId="4">
      <formula>OR($C$9="不具备申报条件",$C$9="目前达不到")</formula>
    </cfRule>
    <cfRule type="expression" priority="7" aboveAverage="0" equalAverage="0" bottom="0" percent="0" rank="0" text="" dxfId="5">
      <formula>OR($C$9="有希望，待补齐",$C$9="信息不足")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3"/>
    <col collapsed="false" customWidth="true" hidden="false" outlineLevel="0" max="4" min="4" style="1" width="16"/>
    <col collapsed="false" customWidth="true" hidden="false" outlineLevel="0" max="6" min="5" style="1" width="10"/>
    <col collapsed="false" customWidth="true" hidden="false" outlineLevel="0" max="7" min="7" style="1" width="3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6"/>
  </cols>
  <sheetData>
    <row r="2" customFormat="false" ht="17.25" hidden="false" customHeight="true" outlineLevel="0" collapsed="false">
      <c r="B2" s="2" t="s">
        <v>310</v>
      </c>
    </row>
    <row r="3" customFormat="false" ht="40.5" hidden="false" customHeight="true" outlineLevel="0" collapsed="false">
      <c r="A3" s="4" t="s">
        <v>311</v>
      </c>
      <c r="B3" s="27" t="s">
        <v>312</v>
      </c>
      <c r="D3" s="4" t="s">
        <v>313</v>
      </c>
      <c r="E3" s="4" t="s">
        <v>100</v>
      </c>
      <c r="F3" s="4" t="s">
        <v>99</v>
      </c>
      <c r="H3" s="4" t="s">
        <v>314</v>
      </c>
      <c r="I3" s="4" t="s">
        <v>315</v>
      </c>
      <c r="J3" s="4" t="s">
        <v>316</v>
      </c>
      <c r="K3" s="4" t="s">
        <v>317</v>
      </c>
      <c r="L3" s="4" t="s">
        <v>318</v>
      </c>
      <c r="M3" s="4" t="s">
        <v>319</v>
      </c>
    </row>
    <row r="4" customFormat="false" ht="15" hidden="false" customHeight="true" outlineLevel="0" collapsed="false">
      <c r="A4" s="43" t="s">
        <v>320</v>
      </c>
      <c r="B4" s="43" t="n">
        <v>0.5554</v>
      </c>
      <c r="D4" s="43" t="s">
        <v>321</v>
      </c>
      <c r="E4" s="43" t="n">
        <v>0.1229</v>
      </c>
      <c r="F4" s="44" t="s">
        <v>322</v>
      </c>
      <c r="H4" s="43" t="s">
        <v>323</v>
      </c>
      <c r="I4" s="43" t="n">
        <v>389.31</v>
      </c>
      <c r="J4" s="43" t="n">
        <v>15.32</v>
      </c>
      <c r="K4" s="43" t="n">
        <v>0.99</v>
      </c>
      <c r="L4" s="43" t="n">
        <v>10000</v>
      </c>
      <c r="M4" s="45" t="n">
        <f aca="false">I4/L4/1000*J4*K4*44/12</f>
        <v>0.0021650151996</v>
      </c>
    </row>
    <row r="5" customFormat="false" ht="15" hidden="false" customHeight="true" outlineLevel="0" collapsed="false">
      <c r="A5" s="43" t="s">
        <v>324</v>
      </c>
      <c r="B5" s="43" t="n">
        <v>0.6796</v>
      </c>
      <c r="D5" s="43" t="s">
        <v>116</v>
      </c>
      <c r="E5" s="43" t="n">
        <v>1.2143</v>
      </c>
      <c r="F5" s="44" t="s">
        <v>325</v>
      </c>
      <c r="H5" s="43" t="s">
        <v>326</v>
      </c>
      <c r="I5" s="43" t="n">
        <v>42.652</v>
      </c>
      <c r="J5" s="43" t="n">
        <v>20.2</v>
      </c>
      <c r="K5" s="43" t="n">
        <v>0.98</v>
      </c>
      <c r="L5" s="43" t="n">
        <v>1</v>
      </c>
      <c r="M5" s="45" t="n">
        <f aca="false">I5/L5/1000*J5*K5*44/12</f>
        <v>3.09590963733333</v>
      </c>
    </row>
    <row r="6" customFormat="false" ht="15" hidden="false" customHeight="true" outlineLevel="0" collapsed="false">
      <c r="A6" s="43" t="s">
        <v>327</v>
      </c>
      <c r="B6" s="43" t="n">
        <v>0.6516</v>
      </c>
      <c r="D6" s="43" t="s">
        <v>118</v>
      </c>
      <c r="E6" s="43" t="n">
        <v>1.4571</v>
      </c>
      <c r="F6" s="44" t="s">
        <v>328</v>
      </c>
      <c r="H6" s="43" t="s">
        <v>329</v>
      </c>
      <c r="I6" s="43" t="n">
        <v>43.07</v>
      </c>
      <c r="J6" s="43" t="n">
        <v>18.9</v>
      </c>
      <c r="K6" s="43" t="n">
        <v>0.98</v>
      </c>
      <c r="L6" s="43" t="n">
        <v>1</v>
      </c>
      <c r="M6" s="45" t="n">
        <f aca="false">I6/L6/1000*J6*K6*44/12</f>
        <v>2.92505598</v>
      </c>
    </row>
    <row r="7" customFormat="false" ht="15" hidden="false" customHeight="true" outlineLevel="0" collapsed="false">
      <c r="A7" s="43" t="s">
        <v>330</v>
      </c>
      <c r="B7" s="43" t="n">
        <v>0.6634</v>
      </c>
      <c r="D7" s="43" t="s">
        <v>121</v>
      </c>
      <c r="E7" s="43" t="n">
        <v>1.4714</v>
      </c>
      <c r="F7" s="44" t="s">
        <v>328</v>
      </c>
      <c r="H7" s="43" t="s">
        <v>331</v>
      </c>
      <c r="I7" s="43" t="n">
        <v>50.179</v>
      </c>
      <c r="J7" s="43" t="n">
        <v>17.2</v>
      </c>
      <c r="K7" s="43" t="n">
        <v>0.98</v>
      </c>
      <c r="L7" s="43" t="n">
        <v>1</v>
      </c>
      <c r="M7" s="45" t="n">
        <f aca="false">I7/L7/1000*J7*K7*44/12</f>
        <v>3.10132982133333</v>
      </c>
    </row>
    <row r="8" customFormat="false" ht="15" hidden="false" customHeight="true" outlineLevel="0" collapsed="false">
      <c r="A8" s="43" t="s">
        <v>332</v>
      </c>
      <c r="B8" s="43" t="n">
        <v>0.6479</v>
      </c>
      <c r="D8" s="43" t="s">
        <v>122</v>
      </c>
      <c r="E8" s="43" t="n">
        <v>1.7143</v>
      </c>
      <c r="F8" s="44" t="s">
        <v>328</v>
      </c>
      <c r="H8" s="43" t="s">
        <v>333</v>
      </c>
      <c r="I8" s="43" t="n">
        <v>41.816</v>
      </c>
      <c r="J8" s="43" t="n">
        <v>21.1</v>
      </c>
      <c r="K8" s="43" t="n">
        <v>0.98</v>
      </c>
      <c r="L8" s="43" t="n">
        <v>1</v>
      </c>
      <c r="M8" s="45" t="n">
        <f aca="false">I8/L8/1000*J8*K8*44/12</f>
        <v>3.17046124266667</v>
      </c>
    </row>
    <row r="9" customFormat="false" ht="15" hidden="false" customHeight="true" outlineLevel="0" collapsed="false">
      <c r="A9" s="43" t="s">
        <v>334</v>
      </c>
      <c r="B9" s="43" t="n">
        <v>0.4878</v>
      </c>
      <c r="D9" s="43" t="s">
        <v>123</v>
      </c>
      <c r="E9" s="43" t="n">
        <v>1.4286</v>
      </c>
      <c r="F9" s="44" t="s">
        <v>328</v>
      </c>
      <c r="H9" s="43" t="s">
        <v>335</v>
      </c>
      <c r="I9" s="43" t="n">
        <v>20.908</v>
      </c>
      <c r="J9" s="43" t="n">
        <v>26.37</v>
      </c>
      <c r="K9" s="43" t="n">
        <v>0.94</v>
      </c>
      <c r="L9" s="43" t="n">
        <v>1</v>
      </c>
      <c r="M9" s="45" t="n">
        <f aca="false">I9/L9/1000*J9*K9*44/12</f>
        <v>1.9002988488</v>
      </c>
    </row>
    <row r="10" customFormat="false" ht="15" hidden="false" customHeight="true" outlineLevel="0" collapsed="false">
      <c r="A10" s="43" t="s">
        <v>336</v>
      </c>
      <c r="B10" s="43" t="n">
        <v>0.4671</v>
      </c>
      <c r="D10" s="43" t="s">
        <v>124</v>
      </c>
      <c r="E10" s="43" t="n">
        <v>0.7143</v>
      </c>
      <c r="F10" s="44" t="s">
        <v>328</v>
      </c>
      <c r="H10" s="43" t="s">
        <v>337</v>
      </c>
      <c r="I10" s="43" t="n">
        <v>28.435</v>
      </c>
      <c r="J10" s="43" t="n">
        <v>29.5</v>
      </c>
      <c r="K10" s="43" t="n">
        <v>0.93</v>
      </c>
      <c r="L10" s="43" t="n">
        <v>1</v>
      </c>
      <c r="M10" s="45" t="n">
        <f aca="false">I10/L10/1000*J10*K10*44/12</f>
        <v>2.860418825</v>
      </c>
    </row>
    <row r="11" customFormat="false" ht="15" hidden="false" customHeight="true" outlineLevel="0" collapsed="false">
      <c r="A11" s="43" t="s">
        <v>338</v>
      </c>
      <c r="B11" s="43" t="n">
        <v>0.5229</v>
      </c>
      <c r="D11" s="43" t="s">
        <v>125</v>
      </c>
      <c r="E11" s="43" t="n">
        <v>0.9714</v>
      </c>
      <c r="F11" s="44" t="s">
        <v>328</v>
      </c>
      <c r="H11" s="43" t="s">
        <v>339</v>
      </c>
      <c r="M11" s="43" t="n">
        <v>0.11</v>
      </c>
    </row>
    <row r="12" customFormat="false" ht="15" hidden="false" customHeight="true" outlineLevel="0" collapsed="false">
      <c r="A12" s="43" t="s">
        <v>340</v>
      </c>
      <c r="B12" s="43" t="n">
        <v>0.5737</v>
      </c>
      <c r="D12" s="43" t="s">
        <v>341</v>
      </c>
      <c r="E12" s="43" t="n">
        <v>34.12</v>
      </c>
      <c r="F12" s="44" t="s">
        <v>342</v>
      </c>
      <c r="H12" s="3" t="s">
        <v>343</v>
      </c>
    </row>
    <row r="13" customFormat="false" ht="15" hidden="false" customHeight="true" outlineLevel="0" collapsed="false">
      <c r="A13" s="43" t="s">
        <v>32</v>
      </c>
      <c r="B13" s="43" t="n">
        <v>0.5827</v>
      </c>
    </row>
    <row r="14" customFormat="false" ht="15" hidden="false" customHeight="true" outlineLevel="0" collapsed="false">
      <c r="A14" s="43" t="s">
        <v>344</v>
      </c>
      <c r="B14" s="43" t="n">
        <v>0.4974</v>
      </c>
      <c r="D14" s="3" t="s">
        <v>345</v>
      </c>
    </row>
    <row r="15" customFormat="false" ht="15" hidden="false" customHeight="true" outlineLevel="0" collapsed="false">
      <c r="A15" s="43" t="s">
        <v>346</v>
      </c>
      <c r="B15" s="43" t="n">
        <v>0.6553</v>
      </c>
    </row>
    <row r="16" customFormat="false" ht="15" hidden="false" customHeight="true" outlineLevel="0" collapsed="false">
      <c r="A16" s="43" t="s">
        <v>347</v>
      </c>
      <c r="B16" s="43" t="n">
        <v>0.4211</v>
      </c>
    </row>
    <row r="17" customFormat="false" ht="15" hidden="false" customHeight="true" outlineLevel="0" collapsed="false">
      <c r="A17" s="43" t="s">
        <v>348</v>
      </c>
      <c r="B17" s="43" t="n">
        <v>0.5836</v>
      </c>
    </row>
    <row r="18" customFormat="false" ht="15" hidden="false" customHeight="true" outlineLevel="0" collapsed="false">
      <c r="A18" s="43" t="s">
        <v>349</v>
      </c>
      <c r="B18" s="43" t="n">
        <v>0.6191</v>
      </c>
    </row>
    <row r="19" customFormat="false" ht="15" hidden="false" customHeight="true" outlineLevel="0" collapsed="false">
      <c r="A19" s="43" t="s">
        <v>350</v>
      </c>
      <c r="B19" s="43" t="n">
        <v>0.5897</v>
      </c>
    </row>
    <row r="20" customFormat="false" ht="15" hidden="false" customHeight="true" outlineLevel="0" collapsed="false">
      <c r="A20" s="43" t="s">
        <v>351</v>
      </c>
      <c r="B20" s="43" t="n">
        <v>0.4044</v>
      </c>
    </row>
    <row r="21" customFormat="false" ht="15" hidden="false" customHeight="true" outlineLevel="0" collapsed="false">
      <c r="A21" s="43" t="s">
        <v>352</v>
      </c>
      <c r="B21" s="43" t="n">
        <v>0.4976</v>
      </c>
    </row>
    <row r="22" customFormat="false" ht="15" hidden="false" customHeight="true" outlineLevel="0" collapsed="false">
      <c r="A22" s="43" t="s">
        <v>353</v>
      </c>
      <c r="B22" s="43" t="n">
        <v>0.4419</v>
      </c>
    </row>
    <row r="23" customFormat="false" ht="15" hidden="false" customHeight="true" outlineLevel="0" collapsed="false">
      <c r="A23" s="43" t="s">
        <v>354</v>
      </c>
      <c r="B23" s="43" t="n">
        <v>0.4476</v>
      </c>
    </row>
    <row r="24" customFormat="false" ht="15" hidden="false" customHeight="true" outlineLevel="0" collapsed="false">
      <c r="A24" s="43" t="s">
        <v>355</v>
      </c>
      <c r="B24" s="43" t="n">
        <v>0.3648</v>
      </c>
    </row>
    <row r="25" customFormat="false" ht="15" hidden="false" customHeight="true" outlineLevel="0" collapsed="false">
      <c r="A25" s="43" t="s">
        <v>356</v>
      </c>
      <c r="B25" s="43" t="n">
        <v>0.5581</v>
      </c>
    </row>
    <row r="26" customFormat="false" ht="15" hidden="false" customHeight="true" outlineLevel="0" collapsed="false">
      <c r="A26" s="43" t="s">
        <v>357</v>
      </c>
      <c r="B26" s="43" t="n">
        <v>0.1564</v>
      </c>
    </row>
    <row r="27" customFormat="false" ht="15" hidden="false" customHeight="true" outlineLevel="0" collapsed="false">
      <c r="A27" s="43" t="s">
        <v>358</v>
      </c>
      <c r="B27" s="43" t="n">
        <v>0.5683</v>
      </c>
    </row>
    <row r="28" customFormat="false" ht="15" hidden="false" customHeight="true" outlineLevel="0" collapsed="false">
      <c r="A28" s="43" t="s">
        <v>359</v>
      </c>
      <c r="B28" s="43" t="n">
        <v>0.1333</v>
      </c>
    </row>
    <row r="29" customFormat="false" ht="15" hidden="false" customHeight="true" outlineLevel="0" collapsed="false">
      <c r="A29" s="43" t="s">
        <v>360</v>
      </c>
      <c r="B29" s="43" t="n">
        <v>0.6335</v>
      </c>
    </row>
    <row r="30" customFormat="false" ht="15" hidden="false" customHeight="true" outlineLevel="0" collapsed="false">
      <c r="A30" s="43" t="s">
        <v>361</v>
      </c>
      <c r="B30" s="43" t="n">
        <v>0.4471</v>
      </c>
    </row>
    <row r="31" customFormat="false" ht="15" hidden="false" customHeight="true" outlineLevel="0" collapsed="false">
      <c r="A31" s="43" t="s">
        <v>362</v>
      </c>
      <c r="B31" s="43" t="n">
        <v>0.1796</v>
      </c>
    </row>
    <row r="32" customFormat="false" ht="15" hidden="false" customHeight="true" outlineLevel="0" collapsed="false">
      <c r="A32" s="43" t="s">
        <v>363</v>
      </c>
      <c r="B32" s="43" t="n">
        <v>0.6187</v>
      </c>
    </row>
    <row r="33" customFormat="false" ht="15" hidden="false" customHeight="true" outlineLevel="0" collapsed="false">
      <c r="A33" s="43" t="s">
        <v>364</v>
      </c>
      <c r="B33" s="43" t="n">
        <v>0.6021</v>
      </c>
    </row>
    <row r="35" customFormat="false" ht="15" hidden="false" customHeight="true" outlineLevel="0" collapsed="false">
      <c r="A35" s="43" t="s">
        <v>365</v>
      </c>
      <c r="B35" s="43" t="n">
        <v>0.5306</v>
      </c>
    </row>
    <row r="36" customFormat="false" ht="15" hidden="false" customHeight="true" outlineLevel="0" collapsed="false">
      <c r="A36" s="43" t="s">
        <v>366</v>
      </c>
      <c r="B36" s="43" t="n">
        <v>0.6096</v>
      </c>
    </row>
    <row r="37" customFormat="false" ht="15" hidden="false" customHeight="true" outlineLevel="0" collapsed="false">
      <c r="A37" s="3" t="s">
        <v>367</v>
      </c>
    </row>
    <row r="39" customFormat="false" ht="15" hidden="false" customHeight="true" outlineLevel="0" collapsed="false">
      <c r="A39" s="46" t="s">
        <v>368</v>
      </c>
    </row>
    <row r="40" customFormat="false" ht="15" hidden="false" customHeight="true" outlineLevel="0" collapsed="false">
      <c r="A40" s="43" t="s">
        <v>14</v>
      </c>
      <c r="B40" s="43" t="n">
        <v>60</v>
      </c>
    </row>
    <row r="41" customFormat="false" ht="15" hidden="false" customHeight="true" outlineLevel="0" collapsed="false">
      <c r="A41" s="43" t="s">
        <v>369</v>
      </c>
      <c r="B41" s="43" t="n">
        <v>75</v>
      </c>
    </row>
    <row r="42" customFormat="false" ht="15" hidden="false" customHeight="true" outlineLevel="0" collapsed="false">
      <c r="A42" s="3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2026-10-22T23:02:38Z</dcterms:created>
  <dc:creator>openpyxl</dc:creator>
  <dc:description/>
  <dc:language>en-US</dc:language>
  <cp:lastModifiedBy/>
  <dcterms:modified xsi:type="dcterms:W3CDTF">2026-10-23T11:54:07Z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